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8_{6CD8F959-82CE-46F1-BF98-1A68292C2D13}" xr6:coauthVersionLast="47" xr6:coauthVersionMax="47" xr10:uidLastSave="{00000000-0000-0000-0000-000000000000}"/>
  <bookViews>
    <workbookView xWindow="-110" yWindow="-110" windowWidth="19420" windowHeight="10300" xr2:uid="{00000000-000D-0000-FFFF-FFFF00000000}"/>
  </bookViews>
  <sheets>
    <sheet name="1" sheetId="5" r:id="rId1"/>
    <sheet name="Summary" sheetId="14" r:id="rId2"/>
    <sheet name="Portfolio Journey" sheetId="11" r:id="rId3"/>
    <sheet name="Ref File" sheetId="6" state="hidden" r:id="rId4"/>
    <sheet name="SUMMARY PORTFOLIO" sheetId="17" r:id="rId5"/>
    <sheet name="DETAILED PORTFOLIO" sheetId="15" r:id="rId6"/>
    <sheet name="Freedom Blueprint" sheetId="10" r:id="rId7"/>
    <sheet name="Sheet2" sheetId="12" state="hidden" r:id="rId8"/>
    <sheet name="Discussion" sheetId="3" r:id="rId9"/>
  </sheets>
  <definedNames>
    <definedName name="_xlnm.Print_Area" localSheetId="0">'1'!$D$1:$R$25</definedName>
    <definedName name="_xlnm.Print_Area" localSheetId="3">'Ref File'!$B$2:$N$156</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<sst xmlns="http://schemas.openxmlformats.org/spreadsheetml/2006/main" count="728" uniqueCount="349">
  <si>
    <t>Doc No</t>
  </si>
  <si>
    <t>Finowise/CRS/002</t>
  </si>
  <si>
    <t>Rev. No.</t>
  </si>
  <si>
    <t>00</t>
  </si>
  <si>
    <t>Rev. Date</t>
  </si>
  <si>
    <r>
      <t xml:space="preserve">CLIENT REVIEW SHEET
</t>
    </r>
    <r>
      <rPr>
        <b/>
        <sz val="14"/>
        <color theme="0"/>
        <rFont val="Arial Black"/>
        <family val="2"/>
      </rPr>
      <t>(Financial Success Ladder)</t>
    </r>
  </si>
  <si>
    <t/>
  </si>
  <si>
    <t>FINOWISE</t>
  </si>
  <si>
    <t xml:space="preserve">PORTFOLIO SUMMARY </t>
  </si>
  <si>
    <t>Today's Wealth</t>
  </si>
  <si>
    <t>Live SIP</t>
  </si>
  <si>
    <t>PORTFOLIO JOURNEY</t>
  </si>
  <si>
    <t>Review Date :</t>
  </si>
  <si>
    <t>MF</t>
  </si>
  <si>
    <t>NJ</t>
  </si>
  <si>
    <t>Portfolio Value</t>
  </si>
  <si>
    <t>Equity MF</t>
  </si>
  <si>
    <t>Hybrid MF</t>
  </si>
  <si>
    <t>Debt MF</t>
  </si>
  <si>
    <t>Others</t>
  </si>
  <si>
    <t>MF SIP</t>
  </si>
  <si>
    <t>Equity SIP</t>
  </si>
  <si>
    <t>Hybrid SIP</t>
  </si>
  <si>
    <t>Debt SIP</t>
  </si>
  <si>
    <t>Others SIP</t>
  </si>
  <si>
    <t>NJ MF Portfolio Value</t>
  </si>
  <si>
    <t>NJ MF Live SIP</t>
  </si>
  <si>
    <r>
      <t xml:space="preserve">Finowise </t>
    </r>
    <r>
      <rPr>
        <sz val="9"/>
        <color theme="1"/>
        <rFont val="Aptos"/>
        <family val="2"/>
      </rPr>
      <t>(Advisorkhoj)</t>
    </r>
  </si>
  <si>
    <t>AdvisorKhoj MF Portfolio Value</t>
  </si>
  <si>
    <t>AdvisorKhoj MF Live SIP</t>
  </si>
  <si>
    <t>Anand Rathi</t>
  </si>
  <si>
    <t>Anand Rathi MF Portfolio Value</t>
  </si>
  <si>
    <t>Anand Rathi MF Live SIP</t>
  </si>
  <si>
    <t>Direct</t>
  </si>
  <si>
    <t>Direct MF Portfolio Value</t>
  </si>
  <si>
    <t>Direct MF Live SIP</t>
  </si>
  <si>
    <t>Other Advisors</t>
  </si>
  <si>
    <t>Other Advisors MF Portfolio Value</t>
  </si>
  <si>
    <t>Other Advisors MF Live SIP</t>
  </si>
  <si>
    <t>TOTAL</t>
  </si>
  <si>
    <t>Total MF Portfolio Value</t>
  </si>
  <si>
    <t>Total MF Live SIP</t>
  </si>
  <si>
    <t>Redemption Value if any</t>
  </si>
  <si>
    <t>Reason for Redemption if any</t>
  </si>
  <si>
    <t>STOCKS</t>
  </si>
  <si>
    <t>PMS</t>
  </si>
  <si>
    <t>Stock SIP</t>
  </si>
  <si>
    <t>Motilal Oswal</t>
  </si>
  <si>
    <t>Omniscience</t>
  </si>
  <si>
    <t>Piper Serica</t>
  </si>
  <si>
    <t>Phillip Capital</t>
  </si>
  <si>
    <t>E SOPs</t>
  </si>
  <si>
    <t>Others 1</t>
  </si>
  <si>
    <t>Others 2</t>
  </si>
  <si>
    <t>Total Stocks Portfolio Value</t>
  </si>
  <si>
    <t>Total Live SIP</t>
  </si>
  <si>
    <t>OTHER SAVINGS / INVESTMENTS</t>
  </si>
  <si>
    <t>Employee Provident Fund (EPF)</t>
  </si>
  <si>
    <t>EPF - Current Value</t>
  </si>
  <si>
    <t>EPF - Monthly Contribution</t>
  </si>
  <si>
    <t>Gratuity</t>
  </si>
  <si>
    <t>GR - Expected Amount</t>
  </si>
  <si>
    <t>Superannuation</t>
  </si>
  <si>
    <t>SN - Current Value</t>
  </si>
  <si>
    <t>SN - Monthly Contribution</t>
  </si>
  <si>
    <t>Public Provident Fund (PPF)</t>
  </si>
  <si>
    <t>PPF - Current Value</t>
  </si>
  <si>
    <t>PPF - Monthly Contribution</t>
  </si>
  <si>
    <t>Fixed Deposit (FD)</t>
  </si>
  <si>
    <t>FD - Current Value</t>
  </si>
  <si>
    <t>FD - Monthly Contribution</t>
  </si>
  <si>
    <t xml:space="preserve"> National Pension Scheme (NPS) - Self</t>
  </si>
  <si>
    <t>NPSS - Current Value</t>
  </si>
  <si>
    <t>NPSS- Monthly Contribution</t>
  </si>
  <si>
    <t xml:space="preserve"> National Pension Scheme (NPS) - Employer</t>
  </si>
  <si>
    <t>NPSE - Current Value</t>
  </si>
  <si>
    <t>NPSE - Monthly Contribution</t>
  </si>
  <si>
    <t>Unit Linked Insurance Plan (ULIP)</t>
  </si>
  <si>
    <t>ULIP - Current Value</t>
  </si>
  <si>
    <t>ULIP - Monthly Contribution</t>
  </si>
  <si>
    <t>Investment Property</t>
  </si>
  <si>
    <t>RE - Current Value</t>
  </si>
  <si>
    <t>Gold as investment</t>
  </si>
  <si>
    <t>GOLD - Current Value</t>
  </si>
  <si>
    <t>GOLD - Monthly Contribution</t>
  </si>
  <si>
    <t>Traditional Insurance Policy</t>
  </si>
  <si>
    <t>TI - Current Value</t>
  </si>
  <si>
    <t>TI - Monthly Contribution</t>
  </si>
  <si>
    <t/>
  </si>
  <si>
    <t>OTHER - Current Value</t>
  </si>
  <si>
    <t>OTHER - Monthly Contribution</t>
  </si>
  <si>
    <t>Total Portfolio Value</t>
  </si>
  <si>
    <t>Total Monthly Contribution</t>
  </si>
  <si>
    <t>Withdrawal / Maturity if any</t>
  </si>
  <si>
    <t>Remarks for Withdrawal / Maturity</t>
  </si>
  <si>
    <t>Grand Total Portfolio Value (All Assets)</t>
  </si>
  <si>
    <t>Total Live SIP (MF + Stocks)</t>
  </si>
  <si>
    <t>Grand Total Monthly Contribution</t>
  </si>
  <si>
    <t>Existing Passive Income Provision</t>
  </si>
  <si>
    <t>Investment Property 1</t>
  </si>
  <si>
    <t>IPR1 - Monthly Rental Income</t>
  </si>
  <si>
    <t>Investment Property 2</t>
  </si>
  <si>
    <t>IPR2 - Monthly Rental Income</t>
  </si>
  <si>
    <t>Investment Property 3</t>
  </si>
  <si>
    <t>IPR3 - Monthly Rental Income</t>
  </si>
  <si>
    <t>EPS</t>
  </si>
  <si>
    <t>Monthly Pension</t>
  </si>
  <si>
    <t>Insurance Policy 1</t>
  </si>
  <si>
    <t>IP1 - Monthly Pension</t>
  </si>
  <si>
    <t>Insurance Policy 2</t>
  </si>
  <si>
    <t>IP2 - Monthly Pension</t>
  </si>
  <si>
    <t>Insurance Policy 3</t>
  </si>
  <si>
    <t>IP3 - Monthly Pension</t>
  </si>
  <si>
    <t>Stocks</t>
  </si>
  <si>
    <t>Average Monthly Dividend</t>
  </si>
  <si>
    <t>Other Source of Passive Income if Any</t>
  </si>
  <si>
    <t>Monthly Passive Income</t>
  </si>
  <si>
    <t>Grand Total : Monthly Passive Income</t>
  </si>
  <si>
    <t>Section A : Personal Information</t>
  </si>
  <si>
    <t>Name</t>
  </si>
  <si>
    <t>Mobile</t>
  </si>
  <si>
    <t>E Mail</t>
  </si>
  <si>
    <t>Date of Birth</t>
  </si>
  <si>
    <t>Age (Yrs)</t>
  </si>
  <si>
    <t>Occupation</t>
  </si>
  <si>
    <t>City</t>
  </si>
  <si>
    <t>Country</t>
  </si>
  <si>
    <t>RM Name</t>
  </si>
  <si>
    <t>In How Many Years from Now, You want to Achieve Financial Freedom ?</t>
  </si>
  <si>
    <t>Section B : Six Levels to Financial Success Ladder</t>
  </si>
  <si>
    <t>Target Freedom Wealth Magic Numbers to achieve Your Financial Freedom</t>
  </si>
  <si>
    <t>Level</t>
  </si>
  <si>
    <t>Financial Freedom Stage</t>
  </si>
  <si>
    <t>Freedom Wealth Magic Number</t>
  </si>
  <si>
    <r>
      <t xml:space="preserve">Monthly 
Passive Income 
</t>
    </r>
    <r>
      <rPr>
        <sz val="9"/>
        <color rgb="FF0070C0"/>
        <rFont val="Aptos"/>
        <family val="2"/>
      </rPr>
      <t>(For Lifetime)</t>
    </r>
  </si>
  <si>
    <t>Option # 1</t>
  </si>
  <si>
    <t>Option # 2</t>
  </si>
  <si>
    <t>Required Monthly Investment</t>
  </si>
  <si>
    <t>Required Lumpsum Investment</t>
  </si>
  <si>
    <t xml:space="preserve"> Level 1</t>
  </si>
  <si>
    <t>Financial Vitality</t>
  </si>
  <si>
    <t>Level 2</t>
  </si>
  <si>
    <t xml:space="preserve">Financial Security </t>
  </si>
  <si>
    <t>Level 3</t>
  </si>
  <si>
    <t xml:space="preserve">Financial Independence </t>
  </si>
  <si>
    <t>Level 4</t>
  </si>
  <si>
    <t xml:space="preserve">Financial Freedom </t>
  </si>
  <si>
    <t>Level 5</t>
  </si>
  <si>
    <t>Financial Abundance</t>
  </si>
  <si>
    <t>Level 6</t>
  </si>
  <si>
    <t>Financial Legacy</t>
  </si>
  <si>
    <t xml:space="preserve">Section C : Your Current Level of Preparedness </t>
  </si>
  <si>
    <t>Freedom Wealth Corpus expected through Your Existing Assets and Investments</t>
  </si>
  <si>
    <t>Sr.No.</t>
  </si>
  <si>
    <t>Asset Class</t>
  </si>
  <si>
    <t>Current Investment Value</t>
  </si>
  <si>
    <t>Monthly Savings / Investments</t>
  </si>
  <si>
    <t>Expected Returns</t>
  </si>
  <si>
    <t>Allocation</t>
  </si>
  <si>
    <t>Expected 
Freedom Wealth</t>
  </si>
  <si>
    <t>Retirement Fund (EPF,GPF,401K etc.)</t>
  </si>
  <si>
    <t>Debt Mutual Fund</t>
  </si>
  <si>
    <t>Hybrid Mutual Fund</t>
  </si>
  <si>
    <t>Equity Mutual Fund</t>
  </si>
  <si>
    <t>Other Mutual Fund</t>
  </si>
  <si>
    <t>National Pension Scheme (NPS)</t>
  </si>
  <si>
    <t>Equity Stocks</t>
  </si>
  <si>
    <t>Other Investments if any</t>
  </si>
  <si>
    <t>Freedom Wealth Portfolio</t>
  </si>
  <si>
    <t>Total</t>
  </si>
  <si>
    <t xml:space="preserve">Section D : Freedom Wealth Target </t>
  </si>
  <si>
    <t>Freedom Wealth GAP Corpus required to achieve Your Financial Freedom</t>
  </si>
  <si>
    <r>
      <t>Expected Wealth</t>
    </r>
    <r>
      <rPr>
        <sz val="12"/>
        <color theme="1"/>
        <rFont val="Aptos"/>
        <family val="2"/>
      </rPr>
      <t xml:space="preserve"> </t>
    </r>
    <r>
      <rPr>
        <sz val="8"/>
        <color rgb="FF0070C0"/>
        <rFont val="Aptos"/>
        <family val="2"/>
      </rPr>
      <t>(Through existing assets &amp; investments)</t>
    </r>
  </si>
  <si>
    <t>GAP Freedom Wealth</t>
  </si>
  <si>
    <t xml:space="preserve">Section E : Additional Investments </t>
  </si>
  <si>
    <t>Additional Investments required to achieve Your Freedom Wealth Target</t>
  </si>
  <si>
    <r>
      <rPr>
        <b/>
        <sz val="18"/>
        <color theme="0"/>
        <rFont val="Aptos"/>
        <family val="2"/>
      </rPr>
      <t>FINOWISE FREEDOM GROUP</t>
    </r>
    <r>
      <rPr>
        <sz val="11"/>
        <color theme="0"/>
        <rFont val="Aptos"/>
        <family val="2"/>
      </rPr>
      <t xml:space="preserve">
MUMBAI  I  PUNE  I  BENGALURU  I  VARANASI
www.finowise.in</t>
    </r>
  </si>
  <si>
    <t>REDVISION</t>
  </si>
  <si>
    <t>ANAND RATHI</t>
  </si>
  <si>
    <t>EQUITY SHARES</t>
  </si>
  <si>
    <t>NEXT FREEDOM LIFEX</t>
  </si>
  <si>
    <t>FINOWISE TOTAL PORTFOLIO</t>
  </si>
  <si>
    <t>SELF MF &amp; STOCKS INVESTMENT PORTFOLIO</t>
  </si>
  <si>
    <t>Self Small Savings</t>
  </si>
  <si>
    <t>GRAND TOTAL</t>
  </si>
  <si>
    <t>DATE</t>
  </si>
  <si>
    <t>INVESTOR'S NAME</t>
  </si>
  <si>
    <t>EQUITY MF</t>
  </si>
  <si>
    <t>EQUITY SIP</t>
  </si>
  <si>
    <t>HYBRID MF</t>
  </si>
  <si>
    <t>HYBRID SIP</t>
  </si>
  <si>
    <t>DEBT MF</t>
  </si>
  <si>
    <t>DEBT SIP</t>
  </si>
  <si>
    <t>OTHER MF</t>
  </si>
  <si>
    <t>OTHER SIP</t>
  </si>
  <si>
    <t>NJ LIVE SIP</t>
  </si>
  <si>
    <t>TOTAL NJ MF PORTFOLIO VALUE</t>
  </si>
  <si>
    <t>REDVISION LIVE SIP</t>
  </si>
  <si>
    <t>TOTAL REDVISION MF PORTFOLIO VALUE</t>
  </si>
  <si>
    <t>AR LIVE SIP</t>
  </si>
  <si>
    <t>TOTAL AR MF PORTFOLIO VALUE</t>
  </si>
  <si>
    <t>MOTILAL OSWAL</t>
  </si>
  <si>
    <t>OMNISCIENCE</t>
  </si>
  <si>
    <t>PIPER SERICA</t>
  </si>
  <si>
    <t>TOTAL EQUITY SHARES PORTFOLIO VALUE</t>
  </si>
  <si>
    <t>OTHER MF SIP</t>
  </si>
  <si>
    <t>NFLX LIVE SIP</t>
  </si>
  <si>
    <t>TOTAL NEXT LEVEL FREEDOM LIFE X MF</t>
  </si>
  <si>
    <t>TOTAL LIVE SIP</t>
  </si>
  <si>
    <t>TOTAL WEALTH</t>
  </si>
  <si>
    <t>Redemption Value</t>
  </si>
  <si>
    <t>Remark (Reason for redemption)</t>
  </si>
  <si>
    <t>SHARES</t>
  </si>
  <si>
    <t>SELF MF &amp; STOCKS LIVE SIP</t>
  </si>
  <si>
    <t>TOTAL SELF MF &amp; STOCKS PORTFOLIO VALUE</t>
  </si>
  <si>
    <t>EPF CURRENT VALUE</t>
  </si>
  <si>
    <t>EPF Monthly Deduction</t>
  </si>
  <si>
    <t>PPF CURRENT VALUE</t>
  </si>
  <si>
    <t>PPF Annual Contribution</t>
  </si>
  <si>
    <t>NPS CURRENT Value</t>
  </si>
  <si>
    <t>NPS Annual Contribution</t>
  </si>
  <si>
    <t>Total Monthly Small-Self Savings</t>
  </si>
  <si>
    <t>Total Small-Self Saving Portfolio Value</t>
  </si>
  <si>
    <t>Systematic Withdrawal Plan (SWP)</t>
  </si>
  <si>
    <t>Total Monthly Avg Financial Savings</t>
  </si>
  <si>
    <t xml:space="preserve">Totl Invested Value </t>
  </si>
  <si>
    <t>Total Financial Wealth</t>
  </si>
  <si>
    <t>Total Gain</t>
  </si>
  <si>
    <t/>
  </si>
  <si>
    <t/>
  </si>
  <si>
    <t/>
  </si>
  <si>
    <t/>
  </si>
  <si>
    <t/>
  </si>
  <si>
    <t/>
  </si>
  <si>
    <t>SCHEME-WISE SUMMARY</t>
  </si>
  <si>
    <t>Sr. No.</t>
  </si>
  <si>
    <t>Scheme</t>
  </si>
  <si>
    <t>Sub Type</t>
  </si>
  <si>
    <t>Investment Value</t>
  </si>
  <si>
    <t>Div.ReInvesting. (₹)</t>
  </si>
  <si>
    <t>No. of Units</t>
  </si>
  <si>
    <t>Current Portfolio Value (₹)</t>
  </si>
  <si>
    <t>Div R (₹)</t>
  </si>
  <si>
    <t>Div P (₹)</t>
  </si>
  <si>
    <t>Total (₹)</t>
  </si>
  <si>
    <t>Annualized Return (%)</t>
  </si>
  <si>
    <t>Abs. Return(%)</t>
  </si>
  <si>
    <t>%Holding</t>
  </si>
  <si>
    <t>Tenure</t>
  </si>
  <si>
    <t>Live SIP Amount</t>
  </si>
  <si>
    <t>New SIP as on 21-06-2025</t>
  </si>
  <si>
    <t xml:space="preserve"> STP IN  Amount</t>
  </si>
  <si>
    <t>STP OUT Amount</t>
  </si>
  <si>
    <t>SWP</t>
  </si>
  <si>
    <t>Remarks</t>
  </si>
  <si>
    <t>Suggestions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</si>
  <si>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</si>
  <si>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</si>
  <si>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</si>
  <si>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</si>
  <si>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</si>
  <si>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</si>
  <si>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</si>
  <si>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</si>
  <si>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</si>
  <si>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</si>
  <si>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</si>
  <si>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</si>
  <si>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</si>
  <si>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</si>
  <si>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</si>
  <si>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</si>
  <si>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</si>
  <si>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</si>
  <si>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</si>
  <si>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</si>
  <si>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</si>
  <si>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</si>
  <si>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</si>
  <si>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</si>
  <si>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</si>
  <si>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</si>
  <si>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</si>
  <si>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</si>
  <si>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</si>
  <si>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</si>
  <si>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</si>
  <si>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</si>
  <si>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</si>
  <si>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</si>
  <si>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</si>
  <si>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</si>
  <si>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</si>
  <si>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</si>
  <si>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</si>
  <si>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</si>
  <si>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</si>
  <si>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</si>
  <si>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</si>
  <si>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</si>
  <si>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</si>
  <si>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</si>
  <si>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xml:space="preserve">Date : </t>
  </si>
  <si>
    <t/>
  </si>
  <si>
    <t/>
  </si>
  <si>
    <t/>
  </si>
  <si>
    <t/>
  </si>
  <si>
    <t xml:space="preserve">In How Many Years from Now, You want to Start Your Monthly Passive Income </t>
  </si>
  <si>
    <t>Target Wealth Magic Number to achieve Your Desired Level of Financial Success</t>
  </si>
  <si>
    <t>Financial Success Level</t>
  </si>
  <si>
    <t>Financial Success Stage</t>
  </si>
  <si>
    <t>Required  Wealth Magic Number</t>
  </si>
  <si>
    <t>The Meaning , Power and Purpose of Each Level of Wealth Corpus</t>
  </si>
  <si>
    <r>
      <t xml:space="preserve">Empowers you to maintain a lifestyle worth  </t>
    </r>
    <r>
      <rPr>
        <b/>
        <sz val="10"/>
        <color theme="1"/>
        <rFont val="Aptos"/>
        <family val="2"/>
      </rPr>
      <t>Rs 50,000 per month</t>
    </r>
  </si>
  <si>
    <r>
      <t xml:space="preserve">Empowers you to maintain a lifestyle worth  </t>
    </r>
    <r>
      <rPr>
        <b/>
        <sz val="10"/>
        <color theme="1"/>
        <rFont val="Aptos"/>
        <family val="2"/>
      </rPr>
      <t>Rs 1,00,000 per month</t>
    </r>
  </si>
  <si>
    <r>
      <t xml:space="preserve">Empowers you to maintain a lifestyle worth  </t>
    </r>
    <r>
      <rPr>
        <b/>
        <sz val="10"/>
        <color theme="1"/>
        <rFont val="Aptos"/>
        <family val="2"/>
      </rPr>
      <t>Rs 2,00,000 per month</t>
    </r>
  </si>
  <si>
    <r>
      <t xml:space="preserve">Empowers you to maintain a lifestyle worth  </t>
    </r>
    <r>
      <rPr>
        <b/>
        <sz val="10"/>
        <color theme="1"/>
        <rFont val="Aptos"/>
        <family val="2"/>
      </rPr>
      <t>Rs 4,00,000 per month</t>
    </r>
  </si>
  <si>
    <r>
      <t xml:space="preserve">Empowers you to live a lifestyle of </t>
    </r>
    <r>
      <rPr>
        <b/>
        <sz val="10"/>
        <color theme="1"/>
        <rFont val="Aptos"/>
        <family val="2"/>
      </rPr>
      <t>Rs 8 Lakh per month</t>
    </r>
    <r>
      <rPr>
        <sz val="10"/>
        <color theme="1"/>
        <rFont val="Aptos"/>
        <family val="2"/>
      </rPr>
      <t xml:space="preserve"> and also You can Leave behind a </t>
    </r>
    <r>
      <rPr>
        <b/>
        <sz val="10"/>
        <color theme="1"/>
        <rFont val="Aptos"/>
        <family val="2"/>
      </rPr>
      <t>Legacy Corpus for Your family</t>
    </r>
  </si>
  <si>
    <r>
      <t xml:space="preserve">Empowers you to live a lifestyle of </t>
    </r>
    <r>
      <rPr>
        <b/>
        <sz val="10"/>
        <color theme="1"/>
        <rFont val="Aptos"/>
        <family val="2"/>
      </rPr>
      <t>Rs 15 Lakhs per month</t>
    </r>
    <r>
      <rPr>
        <sz val="10"/>
        <color theme="1"/>
        <rFont val="Aptos"/>
        <family val="2"/>
      </rPr>
      <t xml:space="preserve"> and also You can Leave behind a </t>
    </r>
    <r>
      <rPr>
        <b/>
        <sz val="10"/>
        <color theme="1"/>
        <rFont val="Aptos"/>
        <family val="2"/>
      </rPr>
      <t>Legacy Corpus for Your family and Social Cause that you want to Support</t>
    </r>
  </si>
  <si>
    <t>Asset Description</t>
  </si>
  <si>
    <t>Asset Allocation</t>
  </si>
  <si>
    <t>NPS - Self</t>
  </si>
  <si>
    <t>NPS - Employer</t>
  </si>
  <si>
    <t>Freedom Wealth GAP Corpus required to achieve Your Desired Level of Financial Success</t>
  </si>
  <si>
    <t>GAP Wealth Corpus</t>
  </si>
  <si>
    <t>REF.</t>
  </si>
  <si>
    <t>Section E : Solution To Achieve The GAP Wealth Corpus</t>
  </si>
  <si>
    <t>Additional Investments required to achieve Your Desired Level of Financial Success</t>
  </si>
  <si>
    <r>
      <t xml:space="preserve">Expected Wealth
</t>
    </r>
    <r>
      <rPr>
        <b/>
        <sz val="9"/>
        <color theme="1"/>
        <rFont val="Aptos"/>
        <family val="2"/>
      </rPr>
      <t>From Existing Assets and Investments</t>
    </r>
  </si>
  <si>
    <t>GAP  Wealth Corpus</t>
  </si>
  <si>
    <t>REFERENCE</t>
  </si>
  <si>
    <t>SIP Required</t>
  </si>
  <si>
    <t>Lumsum Required</t>
  </si>
  <si>
    <t>No of Yrs to goal</t>
  </si>
  <si>
    <t>Annual ROI</t>
  </si>
  <si>
    <t>Monthly ROI</t>
  </si>
  <si>
    <t>CONCLUSION</t>
  </si>
  <si>
    <t>I want to play Financial Success Ladder Game For</t>
  </si>
  <si>
    <t>Financial Success Ladder</t>
  </si>
  <si>
    <t>FSL Level</t>
  </si>
  <si>
    <r>
      <t xml:space="preserve">Passive Income for Current SOL
</t>
    </r>
    <r>
      <rPr>
        <b/>
        <sz val="9"/>
        <color theme="1"/>
        <rFont val="Aptos"/>
        <family val="2"/>
      </rPr>
      <t xml:space="preserve"> (Standard of Living)</t>
    </r>
  </si>
  <si>
    <t>Tax Adjusted Passive Income</t>
  </si>
  <si>
    <t>Inflation Adjusted Passive Income</t>
  </si>
  <si>
    <r>
      <t xml:space="preserve">Passive Income for Desired SOL 
</t>
    </r>
    <r>
      <rPr>
        <b/>
        <sz val="9"/>
        <color theme="1"/>
        <rFont val="Aptos"/>
        <family val="2"/>
      </rPr>
      <t>(Standard of Living)</t>
    </r>
  </si>
  <si>
    <t>Legacy Corpus for Family</t>
  </si>
  <si>
    <t>Legacy Corpus for Social Cause</t>
  </si>
  <si>
    <t>Level 1</t>
  </si>
  <si>
    <t>Minutes of Meeting Summary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</si>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</sst>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 #,##0;[Red]&quot;₹&quot;\ \-#,##0"/>
    <numFmt numFmtId="165" formatCode="_ &quot;₹&quot;\ * #,##0.00_ ;_ &quot;₹&quot;\ * \-#,##0.00_ ;_ &quot;₹&quot;\ * &quot;-&quot;??_ ;_ @_ "/>
    <numFmt numFmtId="166" formatCode="_ * #,##0.00_ ;_ * \-#,##0.00_ ;_ * &quot;-&quot;??_ ;_ @_ "/>
    <numFmt numFmtId="167" formatCode="&quot;₹&quot;\ #,##0"/>
    <numFmt numFmtId="168" formatCode="0.0%"/>
    <numFmt numFmtId="169" formatCode="_ [$₹-4009]\ * #,##0.00_ ;_ [$₹-4009]\ * \-#,##0.00_ ;_ [$₹-4009]\ * &quot;-&quot;??_ ;_ @_ "/>
  </numFmts>
  <fonts count="88">
    <font>
      <sz val="11"/>
      <color theme="1"/>
      <name val="Calibri"/>
      <family val="2"/>
      <scheme val="minor"/>
    </font>
    <font>
      <sz val="11"/>
      <color theme="1"/>
      <name val="Calibri"/>
      <family val="2"/>
      <scheme val="minor"/>
    </font>
    <font>
      <sz val="14"/>
      <color theme="1"/>
      <name val="Calibri"/>
      <family val="2"/>
      <scheme val="minor"/>
    </font>
    <font>
      <b/>
      <sz val="12"/>
      <color theme="0"/>
      <name val="Calibri"/>
      <family val="2"/>
      <scheme val="minor"/>
    </font>
    <font>
      <b/>
      <sz val="27"/>
      <color theme="0"/>
      <name val="Arial Black"/>
      <family val="2"/>
    </font>
    <font>
      <sz val="11"/>
      <color rgb="FFFF0000"/>
      <name val="Calibri"/>
      <family val="2"/>
      <scheme val="minor"/>
    </font>
    <font>
      <sz val="11"/>
      <color theme="0"/>
      <name val="Calibri"/>
      <family val="2"/>
      <scheme val="minor"/>
    </font>
    <font>
      <sz val="9"/>
      <color theme="1"/>
      <name val="Calibri"/>
      <family val="2"/>
      <scheme val="minor"/>
    </font>
    <font>
      <b/>
      <sz val="24"/>
      <color rgb="FF002060"/>
      <name val="Aptos"/>
      <family val="2"/>
    </font>
    <font>
      <b/>
      <sz val="18"/>
      <color rgb="FFC00000"/>
      <name val="Aptos"/>
      <family val="2"/>
    </font>
    <font>
      <b/>
      <sz val="12"/>
      <color rgb="FFC00000"/>
      <name val="Aptos"/>
      <family val="2"/>
    </font>
    <font>
      <sz val="11"/>
      <name val="Aptos"/>
      <family val="2"/>
    </font>
    <font>
      <b/>
      <sz val="18"/>
      <color rgb="FF283B40"/>
      <name val="Aptos"/>
      <family val="2"/>
    </font>
    <font>
      <b/>
      <sz val="14"/>
      <color rgb="FFFF0000"/>
      <name val="Aptos"/>
      <family val="2"/>
    </font>
    <font>
      <b/>
      <sz val="18"/>
      <name val="Aptos"/>
      <family val="2"/>
    </font>
    <font>
      <b/>
      <sz val="15"/>
      <color theme="0"/>
      <name val="Aptos"/>
      <family val="2"/>
    </font>
    <font>
      <sz val="12"/>
      <color rgb="FF0070C0"/>
      <name val="Aptos"/>
      <family val="2"/>
    </font>
    <font>
      <b/>
      <sz val="12"/>
      <color theme="1"/>
      <name val="Aptos"/>
      <family val="2"/>
    </font>
    <font>
      <sz val="9"/>
      <color rgb="FF0070C0"/>
      <name val="Aptos"/>
      <family val="2"/>
    </font>
    <font>
      <b/>
      <sz val="12"/>
      <name val="Aptos"/>
      <family val="2"/>
    </font>
    <font>
      <b/>
      <sz val="12"/>
      <color rgb="FFFF0000"/>
      <name val="Aptos"/>
      <family val="2"/>
    </font>
    <font>
      <sz val="9"/>
      <color rgb="FF0070C0"/>
      <name val="Calibri"/>
      <family val="2"/>
      <scheme val="minor"/>
    </font>
    <font>
      <sz val="6"/>
      <color theme="1" tint="0.34998626667073579"/>
      <name val="Calibri"/>
      <family val="2"/>
      <scheme val="minor"/>
    </font>
    <font>
      <sz val="6"/>
      <color theme="0"/>
      <name val="Calibri"/>
      <family val="2"/>
      <scheme val="minor"/>
    </font>
    <font>
      <sz val="11"/>
      <color theme="1"/>
      <name val="Aptos"/>
      <family val="2"/>
    </font>
    <font>
      <sz val="11"/>
      <color rgb="FFFF0000"/>
      <name val="Aptos"/>
      <family val="2"/>
    </font>
    <font>
      <sz val="11"/>
      <name val="Calibri"/>
      <family val="2"/>
      <scheme val="minor"/>
    </font>
    <font>
      <sz val="9"/>
      <color rgb="FFFF0000"/>
      <name val="Calibri"/>
      <family val="2"/>
      <scheme val="minor"/>
    </font>
    <font>
      <sz val="8"/>
      <color theme="0"/>
      <name val="Calibri"/>
      <family val="2"/>
      <scheme val="minor"/>
    </font>
    <font>
      <sz val="8"/>
      <color rgb="FFFF0000"/>
      <name val="Calibri"/>
      <family val="2"/>
      <scheme val="minor"/>
    </font>
    <font>
      <sz val="10"/>
      <color theme="1"/>
      <name val="Aptos"/>
      <family val="2"/>
    </font>
    <font>
      <b/>
      <sz val="11"/>
      <color theme="1"/>
      <name val="Aptos"/>
      <family val="2"/>
    </font>
    <font>
      <b/>
      <sz val="11"/>
      <name val="Aptos"/>
      <family val="2"/>
    </font>
    <font>
      <sz val="12"/>
      <color theme="1"/>
      <name val="Aptos"/>
      <family val="2"/>
    </font>
    <font>
      <sz val="8"/>
      <color rgb="FF0070C0"/>
      <name val="Aptos"/>
      <family val="2"/>
    </font>
    <font>
      <b/>
      <sz val="18"/>
      <color rgb="FFC00000"/>
      <name val="Calibri"/>
      <family val="2"/>
      <scheme val="minor"/>
    </font>
    <font>
      <b/>
      <sz val="10"/>
      <color theme="1"/>
      <name val="Aptos"/>
      <family val="2"/>
    </font>
    <font>
      <sz val="8"/>
      <color rgb="FFFF0000"/>
      <name val="Aptos"/>
      <family val="2"/>
    </font>
    <font>
      <sz val="11"/>
      <color theme="0"/>
      <name val="Aptos"/>
      <family val="2"/>
    </font>
    <font>
      <b/>
      <sz val="18"/>
      <color theme="0"/>
      <name val="Aptos"/>
      <family val="2"/>
    </font>
    <font>
      <b/>
      <sz val="11"/>
      <color theme="1"/>
      <name val="Calibri"/>
      <family val="2"/>
      <scheme val="minor"/>
    </font>
    <font>
      <b/>
      <sz val="9"/>
      <name val="Aptos"/>
      <family val="2"/>
    </font>
    <font>
      <sz val="9"/>
      <name val="Calibri"/>
      <family val="2"/>
      <scheme val="minor"/>
    </font>
    <font>
      <sz val="24"/>
      <color theme="1"/>
      <name val="Arial Black"/>
      <family val="2"/>
    </font>
    <font>
      <sz val="8"/>
      <color theme="1"/>
      <name val="Calibri"/>
      <family val="2"/>
      <scheme val="minor"/>
    </font>
    <font>
      <sz val="9"/>
      <color theme="1"/>
      <name val="Aptos"/>
      <family val="2"/>
    </font>
    <font>
      <b/>
      <sz val="14"/>
      <color theme="0"/>
      <name val="Arial Black"/>
      <family val="2"/>
    </font>
    <font>
      <sz val="14"/>
      <name val="Aptos"/>
      <family val="2"/>
    </font>
    <font>
      <sz val="8"/>
      <name val="Calibri"/>
      <family val="2"/>
      <scheme val="minor"/>
    </font>
    <font>
      <sz val="11"/>
      <color theme="1"/>
      <name val="Calibri"/>
      <family val="2"/>
    </font>
    <font>
      <sz val="18"/>
      <color theme="1"/>
      <name val="Arial Black"/>
      <family val="2"/>
    </font>
    <font>
      <sz val="8"/>
      <color theme="1"/>
      <name val="Aptos"/>
      <family val="2"/>
    </font>
    <font>
      <b/>
      <sz val="8"/>
      <color theme="1"/>
      <name val="Aptos"/>
      <family val="2"/>
    </font>
    <font>
      <b/>
      <sz val="9"/>
      <color theme="1"/>
      <name val="Aptos"/>
      <family val="2"/>
    </font>
    <font>
      <b/>
      <sz val="18"/>
      <color rgb="FFC63204"/>
      <name val="Aptos"/>
      <family val="2"/>
    </font>
    <font>
      <b/>
      <sz val="11"/>
      <color rgb="FF002060"/>
      <name val="Aptos"/>
      <family val="2"/>
    </font>
    <font>
      <u/>
      <sz val="11"/>
      <color theme="10"/>
      <name val="Calibri"/>
      <family val="2"/>
      <scheme val="minor"/>
    </font>
    <font>
      <sz val="11"/>
      <color theme="0" tint="-0.34998626667073579"/>
      <name val="Aptos"/>
      <family val="2"/>
    </font>
    <font>
      <b/>
      <sz val="12"/>
      <color theme="0"/>
      <name val="Aptos"/>
      <family val="2"/>
    </font>
    <font>
      <b/>
      <sz val="18"/>
      <color rgb="FF042F37"/>
      <name val="Arial Black"/>
      <family val="2"/>
    </font>
    <font>
      <b/>
      <sz val="18"/>
      <color theme="1"/>
      <name val="Aptos"/>
      <family val="2"/>
    </font>
    <font>
      <sz val="10"/>
      <name val="Aptos"/>
      <family val="2"/>
    </font>
    <font>
      <sz val="10"/>
      <color rgb="FF002060"/>
      <name val="Aptos"/>
      <family val="2"/>
    </font>
    <font>
      <sz val="10"/>
      <color theme="0"/>
      <name val="Aptos"/>
      <family val="2"/>
    </font>
    <font>
      <b/>
      <sz val="14"/>
      <color theme="1"/>
      <name val="Aptos"/>
      <family val="2"/>
    </font>
    <font>
      <sz val="24"/>
      <color theme="0"/>
      <name val="Arial Black"/>
      <family val="2"/>
    </font>
    <font>
      <b/>
      <sz val="11"/>
      <color theme="0"/>
      <name val="Calibri"/>
      <family val="2"/>
      <scheme val="minor"/>
    </font>
    <font>
      <sz val="10"/>
      <color theme="0"/>
      <name val="Calibri"/>
      <family val="2"/>
      <scheme val="minor"/>
    </font>
    <font>
      <sz val="12"/>
      <color rgb="FFFF0000"/>
      <name val="Calibri"/>
      <family val="2"/>
      <scheme val="minor"/>
    </font>
    <font>
      <sz val="11"/>
      <color rgb="FF002060"/>
      <name val="Calibri"/>
      <family val="2"/>
      <scheme val="minor"/>
    </font>
    <font>
      <sz val="6"/>
      <color rgb="FF002060"/>
      <name val="Calibri"/>
      <family val="2"/>
      <scheme val="minor"/>
    </font>
    <font>
      <sz val="8"/>
      <color rgb="FF002060"/>
      <name val="Calibri"/>
      <family val="2"/>
      <scheme val="minor"/>
    </font>
    <font>
      <sz val="8"/>
      <color rgb="FF002060"/>
      <name val="Aptos"/>
      <family val="2"/>
    </font>
    <font>
      <sz val="10"/>
      <color rgb="FFFF0000"/>
      <name val="Calibri"/>
      <family val="2"/>
      <scheme val="minor"/>
    </font>
    <font>
      <sz val="10"/>
      <name val="Calibri"/>
      <family val="2"/>
      <scheme val="minor"/>
    </font>
    <font>
      <b/>
      <sz val="11"/>
      <color theme="1"/>
      <name val="Cambria"/>
      <family val="1"/>
    </font>
    <font>
      <b/>
      <sz val="10"/>
      <color theme="1"/>
      <name val="Cambria"/>
      <family val="1"/>
    </font>
    <font>
      <b/>
      <sz val="10"/>
      <name val="Cambria"/>
      <family val="1"/>
    </font>
    <font>
      <b/>
      <sz val="10"/>
      <color rgb="FF000000"/>
      <name val="Cambria"/>
      <family val="1"/>
    </font>
    <font>
      <b/>
      <sz val="12"/>
      <color rgb="FF000000"/>
      <name val="Cambria"/>
    </font>
    <font>
      <b/>
      <sz val="11"/>
      <color rgb="FF000000"/>
      <name val="Cambria"/>
    </font>
    <font>
      <b/>
      <sz val="12"/>
      <name val="Cambria"/>
    </font>
    <font>
      <b/>
      <sz val="12"/>
      <color theme="1"/>
      <name val="Cambria"/>
    </font>
    <font>
      <b/>
      <sz val="11"/>
      <name val="Cambria"/>
    </font>
    <font>
      <b/>
      <sz val="11"/>
      <color theme="1"/>
      <name val="Cambria"/>
    </font>
    <font>
      <sz val="8"/>
      <color rgb="FF222222"/>
      <name val="Arial"/>
      <charset val="1"/>
    </font>
    <font>
      <sz val="11"/>
      <color theme="1"/>
      <name val="Cambria"/>
    </font>
    <font>
      <b/>
      <sz val="11"/>
      <color rgb="FF222222"/>
      <name val="Cambria"/>
    </font>
  </fonts>
  <fills count="50">
    <fill>
      <patternFill patternType="none"/>
    </fill>
    <fill>
      <patternFill patternType="gray125"/>
    </fill>
    <fill>
      <patternFill patternType="solid">
        <fgColor theme="5"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rgb="FF042F37"/>
        <bgColor indexed="64"/>
      </patternFill>
    </fill>
    <fill>
      <patternFill patternType="solid">
        <fgColor rgb="FFC63204"/>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19565B"/>
        <bgColor indexed="64"/>
      </patternFill>
    </fill>
    <fill>
      <patternFill patternType="solid">
        <fgColor theme="4" tint="0.79998168889431442"/>
        <bgColor indexed="64"/>
      </patternFill>
    </fill>
    <fill>
      <patternFill patternType="solid">
        <fgColor rgb="FFF1FBD9"/>
        <bgColor indexed="64"/>
      </patternFill>
    </fill>
    <fill>
      <patternFill patternType="solid">
        <fgColor rgb="FFE1F5CF"/>
        <bgColor indexed="64"/>
      </patternFill>
    </fill>
    <fill>
      <patternFill patternType="solid">
        <fgColor rgb="FFC3EB9F"/>
        <bgColor indexed="64"/>
      </patternFill>
    </fill>
    <fill>
      <patternFill patternType="solid">
        <fgColor rgb="FFFFFFE5"/>
        <bgColor indexed="64"/>
      </patternFill>
    </fill>
    <fill>
      <patternFill patternType="solid">
        <fgColor rgb="FFF3F3F3"/>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FE87C"/>
        <bgColor indexed="64"/>
      </patternFill>
    </fill>
    <fill>
      <patternFill patternType="solid">
        <fgColor rgb="FFD0B2E8"/>
        <bgColor indexed="64"/>
      </patternFill>
    </fill>
    <fill>
      <patternFill patternType="solid">
        <fgColor rgb="FF50C878"/>
        <bgColor indexed="64"/>
      </patternFill>
    </fill>
    <fill>
      <patternFill patternType="solid">
        <fgColor rgb="FFFF9999"/>
        <bgColor indexed="64"/>
      </patternFill>
    </fill>
    <fill>
      <patternFill patternType="solid">
        <fgColor rgb="FF00FFCC"/>
        <bgColor indexed="64"/>
      </patternFill>
    </fill>
    <fill>
      <patternFill patternType="solid">
        <fgColor rgb="FF00CCFF"/>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FF"/>
        <bgColor indexed="64"/>
      </patternFill>
    </fill>
    <fill>
      <patternFill patternType="solid">
        <fgColor rgb="FF00FFFF"/>
        <bgColor indexed="64"/>
      </patternFill>
    </fill>
    <fill>
      <patternFill patternType="solid">
        <fgColor rgb="FFBCF1FA"/>
        <bgColor indexed="64"/>
      </patternFill>
    </fill>
    <fill>
      <patternFill patternType="solid">
        <fgColor rgb="FFC2ECD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indexed="46"/>
        <bgColor indexed="64"/>
      </patternFill>
    </fill>
    <fill>
      <patternFill patternType="solid">
        <fgColor rgb="FFFFFF00"/>
        <bgColor indexed="64"/>
      </patternFill>
    </fill>
    <fill>
      <patternFill patternType="solid">
        <fgColor theme="8" tint="0.39997558519241921"/>
        <bgColor indexed="64"/>
      </patternFill>
    </fill>
    <fill>
      <patternFill patternType="solid">
        <fgColor theme="6"/>
        <bgColor indexed="64"/>
      </patternFill>
    </fill>
    <fill>
      <patternFill patternType="solid">
        <fgColor rgb="FFBCF1FA"/>
        <bgColor rgb="FF000000"/>
      </patternFill>
    </fill>
    <fill>
      <patternFill patternType="solid">
        <fgColor rgb="FFFCE4D6"/>
        <bgColor rgb="FF000000"/>
      </patternFill>
    </fill>
    <fill>
      <patternFill patternType="solid">
        <fgColor rgb="FFCC66FF"/>
        <bgColor indexed="64"/>
      </patternFill>
    </fill>
    <fill>
      <patternFill patternType="solid">
        <fgColor rgb="FFFFD1D1"/>
        <bgColor indexed="64"/>
      </patternFill>
    </fill>
    <fill>
      <patternFill patternType="solid">
        <fgColor rgb="FF7CE5F6"/>
        <bgColor indexed="64"/>
      </patternFill>
    </fill>
    <fill>
      <patternFill patternType="solid">
        <fgColor rgb="FFFFFFFF"/>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59999389629810485"/>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
    <xf numFmtId="0" fontId="0" fillId="0" borderId="0"/>
    <xf numFmtId="166" fontId="1" fillId="0" borderId="0" applyFont="0" applyFill="0" applyBorder="0" applyAlignment="0" applyProtection="0"/>
    <xf numFmtId="9" fontId="1" fillId="0" borderId="0" applyFont="0" applyFill="0" applyBorder="0" applyAlignment="0" applyProtection="0"/>
    <xf numFmtId="0" fontId="56" fillId="0" borderId="0" applyNumberFormat="0" applyFill="0" applyBorder="0" applyAlignment="0" applyProtection="0"/>
  </cellStyleXfs>
  <cellXfs count="571">
    <xf numFmtId="0" fontId="0" fillId="0" borderId="0" xfId="0"/>
    <xf numFmtId="0" fontId="0" fillId="4" borderId="0" xfId="0" applyFill="1"/>
    <xf numFmtId="0" fontId="0" fillId="0" borderId="0" xfId="0" applyAlignment="1">
      <alignment vertical="center"/>
    </xf>
    <xf numFmtId="0" fontId="0" fillId="4" borderId="0" xfId="0" applyFill="1" applyAlignment="1" applyProtection="1">
      <alignment vertical="center"/>
      <protection hidden="1"/>
    </xf>
    <xf numFmtId="0" fontId="5" fillId="4" borderId="0" xfId="0" applyFont="1" applyFill="1" applyAlignment="1" applyProtection="1">
      <alignment vertical="center"/>
      <protection hidden="1"/>
    </xf>
    <xf numFmtId="0" fontId="0" fillId="4" borderId="21" xfId="0" applyFill="1" applyBorder="1" applyAlignment="1" applyProtection="1">
      <alignment vertical="center"/>
      <protection hidden="1"/>
    </xf>
    <xf numFmtId="0" fontId="5" fillId="4" borderId="21" xfId="0" applyFont="1" applyFill="1" applyBorder="1" applyAlignment="1" applyProtection="1">
      <alignment vertical="center"/>
      <protection hidden="1"/>
    </xf>
    <xf numFmtId="0" fontId="0" fillId="4" borderId="23" xfId="0" applyFill="1" applyBorder="1" applyAlignment="1" applyProtection="1">
      <alignment vertical="center"/>
      <protection hidden="1"/>
    </xf>
    <xf numFmtId="0" fontId="5" fillId="4" borderId="23" xfId="0" applyFont="1" applyFill="1" applyBorder="1" applyAlignment="1" applyProtection="1">
      <alignment vertical="center"/>
      <protection hidden="1"/>
    </xf>
    <xf numFmtId="0" fontId="13" fillId="4" borderId="0" xfId="0" applyFont="1" applyFill="1" applyAlignment="1" applyProtection="1">
      <alignment horizontal="center" vertical="center"/>
      <protection hidden="1"/>
    </xf>
    <xf numFmtId="0" fontId="14" fillId="7" borderId="0" xfId="0" applyFont="1" applyFill="1" applyAlignment="1" applyProtection="1">
      <alignment horizontal="center" vertical="center"/>
      <protection locked="0"/>
    </xf>
    <xf numFmtId="0" fontId="20" fillId="4" borderId="21" xfId="0" applyFont="1" applyFill="1" applyBorder="1" applyAlignment="1" applyProtection="1">
      <alignment vertical="center" wrapText="1"/>
      <protection hidden="1"/>
    </xf>
    <xf numFmtId="0" fontId="20" fillId="4" borderId="0" xfId="0" applyFont="1" applyFill="1" applyAlignment="1" applyProtection="1">
      <alignment vertical="center" wrapText="1"/>
      <protection hidden="1"/>
    </xf>
    <xf numFmtId="164" fontId="25" fillId="4" borderId="0" xfId="0" applyNumberFormat="1" applyFont="1" applyFill="1" applyAlignment="1" applyProtection="1">
      <alignment vertical="center"/>
      <protection hidden="1"/>
    </xf>
    <xf numFmtId="0" fontId="5" fillId="4" borderId="0" xfId="0" applyFont="1" applyFill="1" applyAlignment="1" applyProtection="1">
      <alignment horizontal="right" vertical="center"/>
      <protection hidden="1"/>
    </xf>
    <xf numFmtId="167" fontId="25" fillId="4" borderId="0" xfId="0" applyNumberFormat="1" applyFont="1" applyFill="1" applyAlignment="1" applyProtection="1">
      <alignment vertical="center"/>
      <protection hidden="1"/>
    </xf>
    <xf numFmtId="0" fontId="26" fillId="4" borderId="0" xfId="0" applyFont="1" applyFill="1" applyAlignment="1" applyProtection="1">
      <alignment vertical="center"/>
      <protection hidden="1"/>
    </xf>
    <xf numFmtId="10" fontId="28" fillId="4" borderId="0" xfId="2" applyNumberFormat="1" applyFont="1" applyFill="1" applyBorder="1" applyAlignment="1" applyProtection="1">
      <alignment horizontal="center" vertical="center"/>
      <protection hidden="1"/>
    </xf>
    <xf numFmtId="164" fontId="24" fillId="9" borderId="0" xfId="0" applyNumberFormat="1" applyFont="1" applyFill="1" applyAlignment="1" applyProtection="1">
      <alignment horizontal="right" vertical="center"/>
      <protection hidden="1"/>
    </xf>
    <xf numFmtId="0" fontId="6" fillId="4" borderId="0" xfId="0" applyFont="1" applyFill="1" applyAlignment="1" applyProtection="1">
      <alignment vertical="center"/>
      <protection hidden="1"/>
    </xf>
    <xf numFmtId="9" fontId="5" fillId="4" borderId="0" xfId="2" applyFont="1" applyFill="1" applyAlignment="1" applyProtection="1">
      <alignment vertical="center"/>
      <protection hidden="1"/>
    </xf>
    <xf numFmtId="9" fontId="27" fillId="4" borderId="0" xfId="0" applyNumberFormat="1" applyFont="1" applyFill="1" applyAlignment="1" applyProtection="1">
      <alignment vertical="center"/>
      <protection hidden="1"/>
    </xf>
    <xf numFmtId="9" fontId="5" fillId="4" borderId="0" xfId="0" applyNumberFormat="1" applyFont="1" applyFill="1" applyAlignment="1" applyProtection="1">
      <alignment vertical="center"/>
      <protection hidden="1"/>
    </xf>
    <xf numFmtId="10" fontId="29" fillId="4" borderId="0" xfId="2" applyNumberFormat="1" applyFont="1" applyFill="1" applyBorder="1" applyAlignment="1" applyProtection="1">
      <alignment horizontal="center" vertical="center"/>
      <protection hidden="1"/>
    </xf>
    <xf numFmtId="167" fontId="31" fillId="10" borderId="0" xfId="0" applyNumberFormat="1" applyFont="1" applyFill="1" applyAlignment="1" applyProtection="1">
      <alignment vertical="center"/>
      <protection hidden="1"/>
    </xf>
    <xf numFmtId="164" fontId="37" fillId="4" borderId="0" xfId="0" applyNumberFormat="1" applyFont="1" applyFill="1" applyAlignment="1" applyProtection="1">
      <alignment vertical="center"/>
      <protection hidden="1"/>
    </xf>
    <xf numFmtId="0" fontId="0" fillId="16" borderId="6" xfId="0" applyFill="1" applyBorder="1"/>
    <xf numFmtId="0" fontId="0" fillId="16" borderId="7" xfId="0" applyFill="1" applyBorder="1"/>
    <xf numFmtId="0" fontId="3" fillId="5" borderId="0" xfId="0" applyFont="1" applyFill="1" applyAlignment="1">
      <alignment horizontal="center" vertical="center"/>
    </xf>
    <xf numFmtId="167" fontId="0" fillId="4" borderId="0" xfId="0" applyNumberFormat="1" applyFill="1"/>
    <xf numFmtId="0" fontId="40" fillId="4" borderId="0" xfId="0" applyFont="1" applyFill="1"/>
    <xf numFmtId="167" fontId="40" fillId="4" borderId="0" xfId="0" applyNumberFormat="1" applyFont="1" applyFill="1"/>
    <xf numFmtId="0" fontId="40" fillId="0" borderId="0" xfId="0" applyFont="1"/>
    <xf numFmtId="0" fontId="41" fillId="4" borderId="21" xfId="0" applyFont="1" applyFill="1" applyBorder="1" applyAlignment="1" applyProtection="1">
      <alignment horizontal="center" vertical="center" wrapText="1"/>
      <protection hidden="1"/>
    </xf>
    <xf numFmtId="0" fontId="41" fillId="4" borderId="0" xfId="0" applyFont="1" applyFill="1" applyAlignment="1" applyProtection="1">
      <alignment horizontal="center" vertical="center" wrapText="1"/>
      <protection hidden="1"/>
    </xf>
    <xf numFmtId="9" fontId="42" fillId="4" borderId="0" xfId="2" applyFont="1" applyFill="1" applyBorder="1" applyAlignment="1" applyProtection="1">
      <alignment horizontal="center" vertical="center"/>
      <protection hidden="1"/>
    </xf>
    <xf numFmtId="9" fontId="42" fillId="4" borderId="0" xfId="2" applyFont="1" applyFill="1" applyAlignment="1" applyProtection="1">
      <alignment vertical="center"/>
      <protection hidden="1"/>
    </xf>
    <xf numFmtId="9" fontId="42" fillId="12" borderId="0" xfId="2" applyFont="1" applyFill="1" applyBorder="1" applyAlignment="1" applyProtection="1">
      <alignment horizontal="center" vertical="center"/>
      <protection hidden="1"/>
    </xf>
    <xf numFmtId="0" fontId="7" fillId="4" borderId="0" xfId="0" applyFont="1" applyFill="1" applyAlignment="1" applyProtection="1">
      <alignment vertical="center"/>
      <protection hidden="1"/>
    </xf>
    <xf numFmtId="0" fontId="0" fillId="4" borderId="14" xfId="0" applyFill="1" applyBorder="1" applyAlignment="1" applyProtection="1">
      <alignment horizontal="center" vertical="center"/>
      <protection hidden="1"/>
    </xf>
    <xf numFmtId="0" fontId="0" fillId="4" borderId="23" xfId="0" applyFill="1" applyBorder="1" applyAlignment="1" applyProtection="1">
      <alignment horizontal="center" vertical="center"/>
      <protection hidden="1"/>
    </xf>
    <xf numFmtId="0" fontId="8" fillId="4" borderId="23" xfId="0" applyFont="1" applyFill="1" applyBorder="1" applyAlignment="1" applyProtection="1">
      <alignment horizontal="center" vertical="center" wrapText="1"/>
      <protection hidden="1"/>
    </xf>
    <xf numFmtId="0" fontId="8" fillId="4" borderId="24" xfId="0" applyFont="1" applyFill="1" applyBorder="1" applyAlignment="1" applyProtection="1">
      <alignment horizontal="center" vertical="center" wrapText="1"/>
      <protection hidden="1"/>
    </xf>
    <xf numFmtId="0" fontId="9" fillId="4" borderId="0" xfId="0" applyFont="1" applyFill="1" applyAlignment="1" applyProtection="1">
      <alignment horizontal="left" vertical="center"/>
      <protection hidden="1"/>
    </xf>
    <xf numFmtId="0" fontId="0" fillId="0" borderId="0" xfId="0" applyProtection="1">
      <protection hidden="1"/>
    </xf>
    <xf numFmtId="0" fontId="9" fillId="4" borderId="0" xfId="0" applyFont="1" applyFill="1" applyAlignment="1" applyProtection="1">
      <alignment vertical="center"/>
      <protection hidden="1"/>
    </xf>
    <xf numFmtId="0" fontId="10" fillId="4" borderId="0" xfId="0" applyFont="1" applyFill="1" applyAlignment="1" applyProtection="1">
      <alignment vertical="center"/>
      <protection hidden="1"/>
    </xf>
    <xf numFmtId="0" fontId="0" fillId="4" borderId="18" xfId="0" applyFill="1" applyBorder="1" applyAlignment="1" applyProtection="1">
      <alignment vertical="center"/>
      <protection hidden="1"/>
    </xf>
    <xf numFmtId="0" fontId="9" fillId="4" borderId="21" xfId="0" applyFont="1" applyFill="1" applyBorder="1" applyAlignment="1" applyProtection="1">
      <alignment vertical="center"/>
      <protection hidden="1"/>
    </xf>
    <xf numFmtId="0" fontId="10" fillId="4" borderId="21" xfId="0" applyFont="1" applyFill="1" applyBorder="1" applyAlignment="1" applyProtection="1">
      <alignment vertical="center"/>
      <protection hidden="1"/>
    </xf>
    <xf numFmtId="0" fontId="6" fillId="4" borderId="22" xfId="0" applyFont="1" applyFill="1" applyBorder="1" applyAlignment="1" applyProtection="1">
      <alignment vertical="center"/>
      <protection hidden="1"/>
    </xf>
    <xf numFmtId="0" fontId="0" fillId="4" borderId="25" xfId="0" applyFill="1" applyBorder="1" applyAlignment="1" applyProtection="1">
      <alignment vertical="center"/>
      <protection hidden="1"/>
    </xf>
    <xf numFmtId="0" fontId="6" fillId="4" borderId="26" xfId="0" applyFont="1" applyFill="1" applyBorder="1" applyAlignment="1" applyProtection="1">
      <alignment vertical="center"/>
      <protection hidden="1"/>
    </xf>
    <xf numFmtId="0" fontId="0" fillId="4" borderId="14" xfId="0" applyFill="1" applyBorder="1" applyAlignment="1" applyProtection="1">
      <alignment vertical="center"/>
      <protection hidden="1"/>
    </xf>
    <xf numFmtId="0" fontId="6" fillId="4" borderId="24" xfId="0" applyFont="1" applyFill="1" applyBorder="1" applyAlignment="1" applyProtection="1">
      <alignment vertical="center"/>
      <protection hidden="1"/>
    </xf>
    <xf numFmtId="0" fontId="15" fillId="4" borderId="26" xfId="0" applyFont="1" applyFill="1" applyBorder="1" applyAlignment="1" applyProtection="1">
      <alignment vertical="center"/>
      <protection hidden="1"/>
    </xf>
    <xf numFmtId="0" fontId="16" fillId="4" borderId="0" xfId="0" applyFont="1" applyFill="1" applyAlignment="1" applyProtection="1">
      <alignment vertical="center"/>
      <protection hidden="1"/>
    </xf>
    <xf numFmtId="0" fontId="17" fillId="4" borderId="21" xfId="0" applyFont="1" applyFill="1" applyBorder="1" applyAlignment="1" applyProtection="1">
      <alignment horizontal="center" vertical="center"/>
      <protection hidden="1"/>
    </xf>
    <xf numFmtId="0" fontId="17" fillId="4" borderId="21" xfId="0" applyFont="1" applyFill="1" applyBorder="1" applyAlignment="1" applyProtection="1">
      <alignment horizontal="center" vertical="center" wrapText="1"/>
      <protection hidden="1"/>
    </xf>
    <xf numFmtId="0" fontId="19" fillId="4" borderId="21" xfId="0" applyFont="1" applyFill="1" applyBorder="1" applyAlignment="1" applyProtection="1">
      <alignment horizontal="center" vertical="center" wrapText="1"/>
      <protection hidden="1"/>
    </xf>
    <xf numFmtId="0" fontId="17" fillId="4" borderId="0" xfId="0" applyFont="1" applyFill="1" applyAlignment="1" applyProtection="1">
      <alignment horizontal="center" vertical="center" wrapText="1"/>
      <protection hidden="1"/>
    </xf>
    <xf numFmtId="0" fontId="19" fillId="4" borderId="0" xfId="0" applyFont="1" applyFill="1" applyAlignment="1" applyProtection="1">
      <alignment horizontal="center" vertical="center" wrapText="1"/>
      <protection hidden="1"/>
    </xf>
    <xf numFmtId="0" fontId="21" fillId="4" borderId="0" xfId="0" applyFont="1" applyFill="1" applyAlignment="1" applyProtection="1">
      <alignment horizontal="center" vertical="center" wrapText="1"/>
      <protection hidden="1"/>
    </xf>
    <xf numFmtId="10" fontId="23" fillId="4" borderId="26" xfId="2" applyNumberFormat="1" applyFont="1" applyFill="1" applyBorder="1" applyAlignment="1" applyProtection="1">
      <alignment vertical="center"/>
      <protection hidden="1"/>
    </xf>
    <xf numFmtId="0" fontId="24" fillId="4" borderId="0" xfId="0" applyFont="1" applyFill="1" applyAlignment="1" applyProtection="1">
      <alignment horizontal="center" vertical="center"/>
      <protection hidden="1"/>
    </xf>
    <xf numFmtId="0" fontId="24" fillId="4" borderId="0" xfId="0" applyFont="1" applyFill="1" applyAlignment="1" applyProtection="1">
      <alignment vertical="center"/>
      <protection hidden="1"/>
    </xf>
    <xf numFmtId="0" fontId="24" fillId="8" borderId="0" xfId="0" applyFont="1" applyFill="1" applyAlignment="1" applyProtection="1">
      <alignment horizontal="center" vertical="center" wrapText="1"/>
      <protection hidden="1"/>
    </xf>
    <xf numFmtId="0" fontId="24" fillId="8" borderId="0" xfId="0" applyFont="1" applyFill="1" applyAlignment="1" applyProtection="1">
      <alignment horizontal="left" vertical="center" wrapText="1"/>
      <protection hidden="1"/>
    </xf>
    <xf numFmtId="164" fontId="29" fillId="4" borderId="0" xfId="0" applyNumberFormat="1" applyFont="1" applyFill="1" applyAlignment="1" applyProtection="1">
      <alignment horizontal="center" vertical="center"/>
      <protection hidden="1"/>
    </xf>
    <xf numFmtId="0" fontId="24" fillId="4" borderId="0" xfId="0" applyFont="1" applyFill="1" applyAlignment="1" applyProtection="1">
      <alignment horizontal="left" vertical="center"/>
      <protection hidden="1"/>
    </xf>
    <xf numFmtId="0" fontId="24" fillId="4" borderId="0" xfId="0" applyFont="1" applyFill="1" applyAlignment="1" applyProtection="1">
      <alignment horizontal="right" vertical="center"/>
      <protection hidden="1"/>
    </xf>
    <xf numFmtId="0" fontId="29" fillId="4" borderId="0" xfId="0" applyFont="1" applyFill="1" applyAlignment="1" applyProtection="1">
      <alignment horizontal="center" vertical="center"/>
      <protection hidden="1"/>
    </xf>
    <xf numFmtId="0" fontId="30" fillId="8" borderId="0" xfId="0" applyFont="1" applyFill="1" applyAlignment="1" applyProtection="1">
      <alignment horizontal="left" vertical="center" wrapText="1"/>
      <protection hidden="1"/>
    </xf>
    <xf numFmtId="0" fontId="24" fillId="4" borderId="0" xfId="0" applyFont="1" applyFill="1" applyAlignment="1" applyProtection="1">
      <alignment horizontal="left" vertical="center" wrapText="1"/>
      <protection hidden="1"/>
    </xf>
    <xf numFmtId="167" fontId="24" fillId="4" borderId="0" xfId="0" applyNumberFormat="1" applyFont="1" applyFill="1" applyAlignment="1" applyProtection="1">
      <alignment vertical="center"/>
      <protection hidden="1"/>
    </xf>
    <xf numFmtId="167" fontId="11" fillId="4" borderId="0" xfId="0" applyNumberFormat="1" applyFont="1" applyFill="1" applyAlignment="1" applyProtection="1">
      <alignment vertical="center"/>
      <protection hidden="1"/>
    </xf>
    <xf numFmtId="0" fontId="24" fillId="4" borderId="0" xfId="0" applyFont="1" applyFill="1" applyAlignment="1" applyProtection="1">
      <alignment horizontal="center" vertical="center" wrapText="1"/>
      <protection hidden="1"/>
    </xf>
    <xf numFmtId="0" fontId="31" fillId="10" borderId="0" xfId="0" applyFont="1" applyFill="1" applyAlignment="1" applyProtection="1">
      <alignment horizontal="center" vertical="center" wrapText="1"/>
      <protection hidden="1"/>
    </xf>
    <xf numFmtId="167" fontId="32" fillId="10" borderId="0" xfId="0" applyNumberFormat="1" applyFont="1" applyFill="1" applyAlignment="1" applyProtection="1">
      <alignment vertical="center"/>
      <protection hidden="1"/>
    </xf>
    <xf numFmtId="168" fontId="32" fillId="10" borderId="0" xfId="2" applyNumberFormat="1" applyFont="1" applyFill="1" applyAlignment="1" applyProtection="1">
      <alignment horizontal="center" vertical="center"/>
      <protection hidden="1"/>
    </xf>
    <xf numFmtId="0" fontId="17" fillId="4" borderId="21" xfId="0" applyFont="1" applyFill="1" applyBorder="1" applyAlignment="1" applyProtection="1">
      <alignment horizontal="left" vertical="center" wrapText="1"/>
      <protection hidden="1"/>
    </xf>
    <xf numFmtId="0" fontId="7" fillId="4" borderId="0" xfId="0" applyFont="1" applyFill="1" applyAlignment="1" applyProtection="1">
      <alignment horizontal="center" vertical="center" wrapText="1"/>
      <protection hidden="1"/>
    </xf>
    <xf numFmtId="164" fontId="37" fillId="4" borderId="0" xfId="0" applyNumberFormat="1" applyFont="1" applyFill="1" applyAlignment="1" applyProtection="1">
      <alignment horizontal="right" vertical="center"/>
      <protection hidden="1"/>
    </xf>
    <xf numFmtId="38" fontId="24" fillId="4" borderId="0" xfId="0" applyNumberFormat="1" applyFont="1" applyFill="1" applyAlignment="1" applyProtection="1">
      <alignment vertical="center"/>
      <protection hidden="1"/>
    </xf>
    <xf numFmtId="0" fontId="36" fillId="4" borderId="0" xfId="0" applyFont="1" applyFill="1" applyAlignment="1" applyProtection="1">
      <alignment horizontal="right" vertical="center" wrapText="1"/>
      <protection hidden="1"/>
    </xf>
    <xf numFmtId="0" fontId="37" fillId="4" borderId="0" xfId="0" applyFont="1" applyFill="1" applyAlignment="1" applyProtection="1">
      <alignment horizontal="right" vertical="center"/>
      <protection hidden="1"/>
    </xf>
    <xf numFmtId="0" fontId="29" fillId="4" borderId="0" xfId="0" applyFont="1" applyFill="1" applyAlignment="1" applyProtection="1">
      <alignment vertical="center"/>
      <protection hidden="1"/>
    </xf>
    <xf numFmtId="0" fontId="0" fillId="0" borderId="0" xfId="0" applyAlignment="1" applyProtection="1">
      <alignment vertical="center"/>
      <protection hidden="1"/>
    </xf>
    <xf numFmtId="168" fontId="26" fillId="7" borderId="0" xfId="2" applyNumberFormat="1" applyFont="1" applyFill="1" applyBorder="1" applyAlignment="1" applyProtection="1">
      <alignment horizontal="center" vertical="center"/>
      <protection locked="0"/>
    </xf>
    <xf numFmtId="168" fontId="5" fillId="4" borderId="0" xfId="2" applyNumberFormat="1" applyFont="1" applyFill="1" applyAlignment="1" applyProtection="1">
      <alignment vertical="center"/>
      <protection hidden="1"/>
    </xf>
    <xf numFmtId="168" fontId="26" fillId="4" borderId="0" xfId="2" applyNumberFormat="1" applyFont="1" applyFill="1" applyAlignment="1" applyProtection="1">
      <alignment vertical="center"/>
      <protection hidden="1"/>
    </xf>
    <xf numFmtId="167" fontId="24" fillId="9" borderId="0" xfId="0" applyNumberFormat="1" applyFont="1" applyFill="1" applyAlignment="1" applyProtection="1">
      <alignment vertical="center"/>
      <protection locked="0" hidden="1"/>
    </xf>
    <xf numFmtId="9" fontId="27" fillId="4" borderId="0" xfId="0" applyNumberFormat="1" applyFont="1" applyFill="1" applyAlignment="1" applyProtection="1">
      <alignment horizontal="center" vertical="center"/>
      <protection locked="0" hidden="1"/>
    </xf>
    <xf numFmtId="0" fontId="24" fillId="4" borderId="0" xfId="0" applyFont="1" applyFill="1" applyAlignment="1" applyProtection="1">
      <alignment vertical="center"/>
      <protection locked="0" hidden="1"/>
    </xf>
    <xf numFmtId="0" fontId="27" fillId="4" borderId="0" xfId="0" applyFont="1" applyFill="1" applyAlignment="1" applyProtection="1">
      <alignment vertical="center"/>
      <protection locked="0" hidden="1"/>
    </xf>
    <xf numFmtId="0" fontId="11" fillId="4" borderId="0" xfId="0" applyFont="1" applyFill="1" applyAlignment="1" applyProtection="1">
      <alignment vertical="center"/>
      <protection locked="0" hidden="1"/>
    </xf>
    <xf numFmtId="167" fontId="24" fillId="4" borderId="0" xfId="0" applyNumberFormat="1" applyFont="1" applyFill="1" applyAlignment="1" applyProtection="1">
      <alignment vertical="center"/>
      <protection locked="0" hidden="1"/>
    </xf>
    <xf numFmtId="9" fontId="5" fillId="4" borderId="0" xfId="0" applyNumberFormat="1" applyFont="1" applyFill="1" applyAlignment="1" applyProtection="1">
      <alignment vertical="center"/>
      <protection locked="0" hidden="1"/>
    </xf>
    <xf numFmtId="167" fontId="11" fillId="4" borderId="0" xfId="0" applyNumberFormat="1" applyFont="1" applyFill="1" applyAlignment="1" applyProtection="1">
      <alignment vertical="center"/>
      <protection locked="0" hidden="1"/>
    </xf>
    <xf numFmtId="167" fontId="26" fillId="7" borderId="0" xfId="2" applyNumberFormat="1" applyFont="1" applyFill="1" applyBorder="1" applyAlignment="1" applyProtection="1">
      <alignment horizontal="right" vertical="center"/>
      <protection locked="0" hidden="1"/>
    </xf>
    <xf numFmtId="0" fontId="6" fillId="4" borderId="0" xfId="0" applyFont="1" applyFill="1" applyAlignment="1" applyProtection="1">
      <alignment horizontal="center" vertical="center"/>
      <protection hidden="1"/>
    </xf>
    <xf numFmtId="0" fontId="11" fillId="4" borderId="0" xfId="0" applyFont="1" applyFill="1" applyAlignment="1" applyProtection="1">
      <alignment horizontal="center" vertical="center" wrapText="1"/>
      <protection hidden="1"/>
    </xf>
    <xf numFmtId="0" fontId="11" fillId="4" borderId="0" xfId="0" applyFont="1" applyFill="1" applyAlignment="1" applyProtection="1">
      <alignment vertical="center" wrapText="1"/>
      <protection hidden="1"/>
    </xf>
    <xf numFmtId="0" fontId="24" fillId="20" borderId="0" xfId="0" applyFont="1" applyFill="1" applyAlignment="1" applyProtection="1">
      <alignment horizontal="center" vertical="center" wrapText="1"/>
      <protection hidden="1"/>
    </xf>
    <xf numFmtId="0" fontId="24" fillId="20" borderId="0" xfId="0" applyFont="1" applyFill="1" applyAlignment="1" applyProtection="1">
      <alignment vertical="center" wrapText="1"/>
      <protection hidden="1"/>
    </xf>
    <xf numFmtId="167" fontId="24" fillId="20" borderId="0" xfId="0" applyNumberFormat="1" applyFont="1" applyFill="1" applyAlignment="1" applyProtection="1">
      <alignment vertical="center"/>
      <protection hidden="1"/>
    </xf>
    <xf numFmtId="164" fontId="24" fillId="20" borderId="0" xfId="0" applyNumberFormat="1" applyFont="1" applyFill="1" applyAlignment="1" applyProtection="1">
      <alignment vertical="center"/>
      <protection hidden="1"/>
    </xf>
    <xf numFmtId="0" fontId="24" fillId="21" borderId="0" xfId="0" applyFont="1" applyFill="1" applyAlignment="1" applyProtection="1">
      <alignment horizontal="center" vertical="center" wrapText="1"/>
      <protection hidden="1"/>
    </xf>
    <xf numFmtId="0" fontId="24" fillId="21" borderId="0" xfId="0" applyFont="1" applyFill="1" applyAlignment="1" applyProtection="1">
      <alignment vertical="center" wrapText="1"/>
      <protection hidden="1"/>
    </xf>
    <xf numFmtId="167" fontId="24" fillId="21" borderId="0" xfId="0" applyNumberFormat="1" applyFont="1" applyFill="1" applyAlignment="1" applyProtection="1">
      <alignment vertical="center"/>
      <protection hidden="1"/>
    </xf>
    <xf numFmtId="0" fontId="24" fillId="22" borderId="0" xfId="0" applyFont="1" applyFill="1" applyAlignment="1" applyProtection="1">
      <alignment horizontal="center" vertical="center" wrapText="1"/>
      <protection hidden="1"/>
    </xf>
    <xf numFmtId="0" fontId="24" fillId="22" borderId="0" xfId="0" applyFont="1" applyFill="1" applyAlignment="1" applyProtection="1">
      <alignment vertical="center" wrapText="1"/>
      <protection hidden="1"/>
    </xf>
    <xf numFmtId="167" fontId="24" fillId="22" borderId="0" xfId="0" applyNumberFormat="1" applyFont="1" applyFill="1" applyAlignment="1" applyProtection="1">
      <alignment vertical="center"/>
      <protection hidden="1"/>
    </xf>
    <xf numFmtId="167" fontId="24" fillId="4" borderId="0" xfId="0" applyNumberFormat="1" applyFont="1" applyFill="1" applyAlignment="1" applyProtection="1">
      <alignment horizontal="right" vertical="center"/>
      <protection hidden="1"/>
    </xf>
    <xf numFmtId="167" fontId="24" fillId="21" borderId="0" xfId="0" applyNumberFormat="1" applyFont="1" applyFill="1" applyAlignment="1" applyProtection="1">
      <alignment horizontal="right" vertical="center"/>
      <protection hidden="1"/>
    </xf>
    <xf numFmtId="167" fontId="24" fillId="22" borderId="0" xfId="0" applyNumberFormat="1" applyFont="1" applyFill="1" applyAlignment="1" applyProtection="1">
      <alignment horizontal="right" vertical="center"/>
      <protection hidden="1"/>
    </xf>
    <xf numFmtId="38" fontId="24" fillId="20" borderId="0" xfId="0" applyNumberFormat="1" applyFont="1" applyFill="1" applyAlignment="1" applyProtection="1">
      <alignment vertical="center"/>
      <protection hidden="1"/>
    </xf>
    <xf numFmtId="164" fontId="30" fillId="20" borderId="0" xfId="0" applyNumberFormat="1" applyFont="1" applyFill="1" applyAlignment="1" applyProtection="1">
      <alignment horizontal="right" vertical="center" wrapText="1"/>
      <protection hidden="1"/>
    </xf>
    <xf numFmtId="38" fontId="24" fillId="21" borderId="0" xfId="0" applyNumberFormat="1" applyFont="1" applyFill="1" applyAlignment="1" applyProtection="1">
      <alignment vertical="center"/>
      <protection hidden="1"/>
    </xf>
    <xf numFmtId="38" fontId="24" fillId="22" borderId="0" xfId="0" applyNumberFormat="1" applyFont="1" applyFill="1" applyAlignment="1" applyProtection="1">
      <alignment vertical="center"/>
      <protection hidden="1"/>
    </xf>
    <xf numFmtId="0" fontId="0" fillId="4" borderId="0" xfId="0" applyFill="1" applyAlignment="1">
      <alignment vertical="center"/>
    </xf>
    <xf numFmtId="167" fontId="0" fillId="4" borderId="0" xfId="0" applyNumberFormat="1" applyFill="1" applyAlignment="1">
      <alignment vertical="center" wrapText="1"/>
    </xf>
    <xf numFmtId="0" fontId="0" fillId="4" borderId="0" xfId="0" applyFill="1" applyAlignment="1">
      <alignment vertical="center" wrapText="1"/>
    </xf>
    <xf numFmtId="0" fontId="0" fillId="0" borderId="0" xfId="0" applyAlignment="1">
      <alignment vertical="center" wrapText="1"/>
    </xf>
    <xf numFmtId="0" fontId="45" fillId="8" borderId="0" xfId="0" applyFont="1" applyFill="1" applyAlignment="1" applyProtection="1">
      <alignment horizontal="left" vertical="center" wrapText="1"/>
      <protection hidden="1"/>
    </xf>
    <xf numFmtId="0" fontId="44" fillId="4" borderId="18" xfId="0" applyFont="1" applyFill="1" applyBorder="1"/>
    <xf numFmtId="0" fontId="44" fillId="4" borderId="25" xfId="0" applyFont="1" applyFill="1" applyBorder="1"/>
    <xf numFmtId="0" fontId="44" fillId="4" borderId="14" xfId="0" applyFont="1" applyFill="1" applyBorder="1"/>
    <xf numFmtId="168" fontId="26" fillId="4" borderId="0" xfId="2" applyNumberFormat="1" applyFont="1" applyFill="1" applyBorder="1" applyAlignment="1" applyProtection="1">
      <alignment horizontal="center" vertical="center"/>
      <protection locked="0"/>
    </xf>
    <xf numFmtId="164" fontId="24" fillId="4" borderId="0" xfId="0" applyNumberFormat="1" applyFont="1" applyFill="1" applyAlignment="1" applyProtection="1">
      <alignment horizontal="right" vertical="center"/>
      <protection hidden="1"/>
    </xf>
    <xf numFmtId="167" fontId="24" fillId="10" borderId="0" xfId="0" applyNumberFormat="1" applyFont="1" applyFill="1" applyAlignment="1" applyProtection="1">
      <alignment vertical="center"/>
      <protection locked="0" hidden="1"/>
    </xf>
    <xf numFmtId="0" fontId="24" fillId="23" borderId="0" xfId="0" applyFont="1" applyFill="1" applyAlignment="1" applyProtection="1">
      <alignment horizontal="center" vertical="center" wrapText="1"/>
      <protection hidden="1"/>
    </xf>
    <xf numFmtId="0" fontId="24" fillId="23" borderId="0" xfId="0" applyFont="1" applyFill="1" applyAlignment="1" applyProtection="1">
      <alignment vertical="center" wrapText="1"/>
      <protection hidden="1"/>
    </xf>
    <xf numFmtId="167" fontId="24" fillId="23" borderId="0" xfId="0" applyNumberFormat="1" applyFont="1" applyFill="1" applyAlignment="1" applyProtection="1">
      <alignment vertical="center"/>
      <protection hidden="1"/>
    </xf>
    <xf numFmtId="167" fontId="24" fillId="23" borderId="0" xfId="0" applyNumberFormat="1" applyFont="1" applyFill="1" applyAlignment="1" applyProtection="1">
      <alignment horizontal="right" vertical="center"/>
      <protection hidden="1"/>
    </xf>
    <xf numFmtId="38" fontId="24" fillId="23" borderId="0" xfId="0" applyNumberFormat="1" applyFont="1" applyFill="1" applyAlignment="1" applyProtection="1">
      <alignment vertical="center"/>
      <protection hidden="1"/>
    </xf>
    <xf numFmtId="0" fontId="24" fillId="24" borderId="0" xfId="0" applyFont="1" applyFill="1" applyAlignment="1" applyProtection="1">
      <alignment horizontal="center" vertical="center" wrapText="1"/>
      <protection hidden="1"/>
    </xf>
    <xf numFmtId="0" fontId="24" fillId="24" borderId="0" xfId="0" applyFont="1" applyFill="1" applyAlignment="1" applyProtection="1">
      <alignment vertical="center" wrapText="1"/>
      <protection hidden="1"/>
    </xf>
    <xf numFmtId="167" fontId="24" fillId="24" borderId="0" xfId="0" applyNumberFormat="1" applyFont="1" applyFill="1" applyAlignment="1" applyProtection="1">
      <alignment vertical="center"/>
      <protection hidden="1"/>
    </xf>
    <xf numFmtId="167" fontId="24" fillId="24" borderId="0" xfId="0" applyNumberFormat="1" applyFont="1" applyFill="1" applyAlignment="1" applyProtection="1">
      <alignment horizontal="right" vertical="center"/>
      <protection hidden="1"/>
    </xf>
    <xf numFmtId="38" fontId="24" fillId="24" borderId="0" xfId="0" applyNumberFormat="1" applyFont="1" applyFill="1" applyAlignment="1" applyProtection="1">
      <alignment vertical="center"/>
      <protection hidden="1"/>
    </xf>
    <xf numFmtId="0" fontId="24" fillId="25" borderId="0" xfId="0" applyFont="1" applyFill="1" applyAlignment="1" applyProtection="1">
      <alignment horizontal="center" vertical="center" wrapText="1"/>
      <protection hidden="1"/>
    </xf>
    <xf numFmtId="0" fontId="24" fillId="25" borderId="0" xfId="0" applyFont="1" applyFill="1" applyAlignment="1" applyProtection="1">
      <alignment vertical="center" wrapText="1"/>
      <protection hidden="1"/>
    </xf>
    <xf numFmtId="167" fontId="24" fillId="25" borderId="0" xfId="0" applyNumberFormat="1" applyFont="1" applyFill="1" applyAlignment="1" applyProtection="1">
      <alignment vertical="center"/>
      <protection hidden="1"/>
    </xf>
    <xf numFmtId="167" fontId="24" fillId="25" borderId="0" xfId="0" applyNumberFormat="1" applyFont="1" applyFill="1" applyAlignment="1" applyProtection="1">
      <alignment horizontal="right" vertical="center"/>
      <protection hidden="1"/>
    </xf>
    <xf numFmtId="38" fontId="24" fillId="25" borderId="0" xfId="0" applyNumberFormat="1" applyFont="1" applyFill="1" applyAlignment="1" applyProtection="1">
      <alignment vertical="center"/>
      <protection hidden="1"/>
    </xf>
    <xf numFmtId="0" fontId="14" fillId="7" borderId="20" xfId="0" applyFont="1" applyFill="1" applyBorder="1" applyAlignment="1" applyProtection="1">
      <alignment horizontal="center" vertical="center"/>
      <protection locked="0"/>
    </xf>
    <xf numFmtId="0" fontId="5" fillId="9" borderId="20" xfId="0" applyFont="1" applyFill="1" applyBorder="1" applyAlignment="1" applyProtection="1">
      <alignment vertical="center"/>
      <protection hidden="1"/>
    </xf>
    <xf numFmtId="0" fontId="24" fillId="28" borderId="0" xfId="0" applyFont="1" applyFill="1" applyAlignment="1" applyProtection="1">
      <alignment horizontal="center" vertical="center" wrapText="1"/>
      <protection hidden="1"/>
    </xf>
    <xf numFmtId="0" fontId="24" fillId="28" borderId="0" xfId="0" applyFont="1" applyFill="1" applyAlignment="1" applyProtection="1">
      <alignment vertical="center" wrapText="1"/>
      <protection hidden="1"/>
    </xf>
    <xf numFmtId="167" fontId="24" fillId="28" borderId="0" xfId="0" applyNumberFormat="1" applyFont="1" applyFill="1" applyAlignment="1" applyProtection="1">
      <alignment vertical="center"/>
      <protection hidden="1"/>
    </xf>
    <xf numFmtId="0" fontId="24" fillId="29" borderId="0" xfId="0" applyFont="1" applyFill="1" applyAlignment="1" applyProtection="1">
      <alignment horizontal="center" vertical="center" wrapText="1"/>
      <protection hidden="1"/>
    </xf>
    <xf numFmtId="0" fontId="24" fillId="29" borderId="0" xfId="0" applyFont="1" applyFill="1" applyAlignment="1" applyProtection="1">
      <alignment vertical="center" wrapText="1"/>
      <protection hidden="1"/>
    </xf>
    <xf numFmtId="167" fontId="24" fillId="29" borderId="0" xfId="0" applyNumberFormat="1" applyFont="1" applyFill="1" applyAlignment="1" applyProtection="1">
      <alignment vertical="center"/>
      <protection hidden="1"/>
    </xf>
    <xf numFmtId="167" fontId="24" fillId="28" borderId="0" xfId="0" applyNumberFormat="1" applyFont="1" applyFill="1" applyAlignment="1" applyProtection="1">
      <alignment horizontal="right" vertical="center"/>
      <protection hidden="1"/>
    </xf>
    <xf numFmtId="167" fontId="24" fillId="29" borderId="0" xfId="0" applyNumberFormat="1" applyFont="1" applyFill="1" applyAlignment="1" applyProtection="1">
      <alignment horizontal="right" vertical="center"/>
      <protection hidden="1"/>
    </xf>
    <xf numFmtId="0" fontId="47" fillId="4" borderId="16" xfId="0" applyFont="1" applyFill="1" applyBorder="1" applyAlignment="1" applyProtection="1">
      <alignment horizontal="center" vertical="center"/>
      <protection hidden="1"/>
    </xf>
    <xf numFmtId="0" fontId="5" fillId="4" borderId="0" xfId="0" applyFont="1" applyFill="1" applyAlignment="1" applyProtection="1">
      <alignment horizontal="center" vertical="center"/>
      <protection hidden="1"/>
    </xf>
    <xf numFmtId="167" fontId="24" fillId="4" borderId="0" xfId="0" applyNumberFormat="1" applyFont="1" applyFill="1" applyAlignment="1" applyProtection="1">
      <alignment horizontal="center" vertical="center"/>
      <protection hidden="1"/>
    </xf>
    <xf numFmtId="0" fontId="43" fillId="4" borderId="0" xfId="0" applyFont="1" applyFill="1" applyAlignment="1">
      <alignment vertical="center"/>
    </xf>
    <xf numFmtId="0" fontId="44" fillId="4" borderId="0" xfId="0" applyFont="1" applyFill="1" applyAlignment="1">
      <alignment horizontal="left"/>
    </xf>
    <xf numFmtId="0" fontId="0" fillId="0" borderId="0" xfId="0" applyAlignment="1">
      <alignment horizontal="center"/>
    </xf>
    <xf numFmtId="0" fontId="24" fillId="0" borderId="0" xfId="0" applyFont="1" applyAlignment="1">
      <alignment vertical="center"/>
    </xf>
    <xf numFmtId="0" fontId="24" fillId="4" borderId="0" xfId="0" applyFont="1" applyFill="1" applyAlignment="1">
      <alignment vertical="center" wrapText="1"/>
    </xf>
    <xf numFmtId="0" fontId="24" fillId="0" borderId="0" xfId="0" applyFont="1" applyAlignment="1">
      <alignment vertical="center" wrapText="1"/>
    </xf>
    <xf numFmtId="0" fontId="49" fillId="9" borderId="15" xfId="0" applyFont="1" applyFill="1" applyBorder="1" applyAlignment="1">
      <alignment horizontal="center" vertical="center"/>
    </xf>
    <xf numFmtId="0" fontId="0" fillId="9" borderId="15" xfId="0" applyFill="1" applyBorder="1" applyAlignment="1">
      <alignment horizontal="center" vertical="center"/>
    </xf>
    <xf numFmtId="0" fontId="31" fillId="9" borderId="15" xfId="0" applyFont="1" applyFill="1" applyBorder="1" applyAlignment="1">
      <alignment horizontal="center" vertical="center" wrapText="1"/>
    </xf>
    <xf numFmtId="0" fontId="17" fillId="9" borderId="15" xfId="0" applyFont="1" applyFill="1" applyBorder="1" applyAlignment="1">
      <alignment horizontal="center" vertical="center"/>
    </xf>
    <xf numFmtId="164" fontId="24" fillId="4" borderId="0" xfId="0" applyNumberFormat="1" applyFont="1" applyFill="1" applyAlignment="1" applyProtection="1">
      <alignment vertical="center"/>
      <protection hidden="1"/>
    </xf>
    <xf numFmtId="164" fontId="24" fillId="28" borderId="0" xfId="0" applyNumberFormat="1" applyFont="1" applyFill="1" applyAlignment="1" applyProtection="1">
      <alignment vertical="center"/>
      <protection hidden="1"/>
    </xf>
    <xf numFmtId="164" fontId="24" fillId="24" borderId="0" xfId="0" applyNumberFormat="1" applyFont="1" applyFill="1" applyAlignment="1" applyProtection="1">
      <alignment vertical="center"/>
      <protection hidden="1"/>
    </xf>
    <xf numFmtId="164" fontId="24" fillId="29" borderId="0" xfId="0" applyNumberFormat="1" applyFont="1" applyFill="1" applyAlignment="1" applyProtection="1">
      <alignment vertical="center"/>
      <protection hidden="1"/>
    </xf>
    <xf numFmtId="164" fontId="24" fillId="22" borderId="0" xfId="0" applyNumberFormat="1" applyFont="1" applyFill="1" applyAlignment="1" applyProtection="1">
      <alignment vertical="center"/>
      <protection hidden="1"/>
    </xf>
    <xf numFmtId="164" fontId="24" fillId="23" borderId="0" xfId="0" applyNumberFormat="1" applyFont="1" applyFill="1" applyAlignment="1" applyProtection="1">
      <alignment vertical="center"/>
      <protection hidden="1"/>
    </xf>
    <xf numFmtId="0" fontId="11" fillId="4" borderId="0" xfId="0" applyFont="1" applyFill="1" applyAlignment="1" applyProtection="1">
      <alignment vertical="center"/>
      <protection hidden="1"/>
    </xf>
    <xf numFmtId="0" fontId="25" fillId="4" borderId="0" xfId="0" applyFont="1" applyFill="1" applyAlignment="1" applyProtection="1">
      <alignment vertical="center"/>
      <protection hidden="1"/>
    </xf>
    <xf numFmtId="0" fontId="24" fillId="7" borderId="0" xfId="0" quotePrefix="1" applyFont="1" applyFill="1" applyAlignment="1" applyProtection="1">
      <alignment horizontal="left" vertical="center"/>
      <protection locked="0"/>
    </xf>
    <xf numFmtId="0" fontId="24" fillId="4" borderId="0" xfId="0" applyFont="1" applyFill="1" applyAlignment="1" applyProtection="1">
      <alignment vertical="center"/>
      <protection locked="0"/>
    </xf>
    <xf numFmtId="0" fontId="17" fillId="4" borderId="21" xfId="0" applyFont="1" applyFill="1" applyBorder="1" applyAlignment="1" applyProtection="1">
      <alignment vertical="center" wrapText="1"/>
      <protection hidden="1"/>
    </xf>
    <xf numFmtId="0" fontId="55" fillId="8" borderId="0" xfId="0" applyFont="1" applyFill="1" applyAlignment="1" applyProtection="1">
      <alignment horizontal="left" vertical="center" wrapText="1"/>
      <protection hidden="1"/>
    </xf>
    <xf numFmtId="168" fontId="0" fillId="9" borderId="0" xfId="2" applyNumberFormat="1" applyFont="1" applyFill="1" applyAlignment="1" applyProtection="1">
      <alignment horizontal="center" vertical="center"/>
      <protection hidden="1"/>
    </xf>
    <xf numFmtId="168" fontId="40" fillId="9" borderId="0" xfId="0" applyNumberFormat="1" applyFont="1" applyFill="1" applyAlignment="1" applyProtection="1">
      <alignment horizontal="center" vertical="center"/>
      <protection hidden="1"/>
    </xf>
    <xf numFmtId="0" fontId="24" fillId="31" borderId="0" xfId="0" applyFont="1" applyFill="1" applyAlignment="1" applyProtection="1">
      <alignment horizontal="left" vertical="center"/>
      <protection hidden="1"/>
    </xf>
    <xf numFmtId="0" fontId="26" fillId="0" borderId="0" xfId="0" applyFont="1" applyProtection="1">
      <protection hidden="1"/>
    </xf>
    <xf numFmtId="167" fontId="24" fillId="8" borderId="0" xfId="0" applyNumberFormat="1" applyFont="1" applyFill="1" applyAlignment="1" applyProtection="1">
      <alignment vertical="center"/>
      <protection locked="0" hidden="1"/>
    </xf>
    <xf numFmtId="9" fontId="9" fillId="4" borderId="0" xfId="2" applyFont="1" applyFill="1" applyAlignment="1" applyProtection="1">
      <alignment horizontal="left" vertical="center"/>
      <protection hidden="1"/>
    </xf>
    <xf numFmtId="0" fontId="24" fillId="4" borderId="0" xfId="0" applyFont="1" applyFill="1"/>
    <xf numFmtId="1" fontId="31" fillId="19" borderId="15" xfId="0" applyNumberFormat="1" applyFont="1" applyFill="1" applyBorder="1" applyAlignment="1" applyProtection="1">
      <alignment horizontal="center"/>
      <protection locked="0"/>
    </xf>
    <xf numFmtId="1" fontId="31" fillId="8" borderId="15" xfId="0" applyNumberFormat="1" applyFont="1" applyFill="1" applyBorder="1" applyAlignment="1" applyProtection="1">
      <alignment horizontal="center"/>
      <protection hidden="1"/>
    </xf>
    <xf numFmtId="166" fontId="61" fillId="2" borderId="13" xfId="1" applyFont="1" applyFill="1" applyBorder="1" applyAlignment="1" applyProtection="1">
      <alignment horizontal="right" vertical="center" wrapText="1"/>
    </xf>
    <xf numFmtId="167" fontId="30" fillId="0" borderId="15" xfId="0" applyNumberFormat="1" applyFont="1" applyBorder="1" applyAlignment="1" applyProtection="1">
      <alignment horizontal="right"/>
      <protection locked="0"/>
    </xf>
    <xf numFmtId="166" fontId="61" fillId="2" borderId="15" xfId="1" applyFont="1" applyFill="1" applyBorder="1" applyAlignment="1" applyProtection="1">
      <alignment horizontal="right" vertical="center" wrapText="1"/>
    </xf>
    <xf numFmtId="167" fontId="62" fillId="26" borderId="15" xfId="0" applyNumberFormat="1" applyFont="1" applyFill="1" applyBorder="1" applyAlignment="1">
      <alignment horizontal="right"/>
    </xf>
    <xf numFmtId="0" fontId="24" fillId="12" borderId="0" xfId="0" applyFont="1" applyFill="1" applyAlignment="1">
      <alignment vertical="center"/>
    </xf>
    <xf numFmtId="166" fontId="61" fillId="12" borderId="15" xfId="1" applyFont="1" applyFill="1" applyBorder="1" applyAlignment="1" applyProtection="1">
      <alignment horizontal="right" vertical="center" wrapText="1"/>
    </xf>
    <xf numFmtId="167" fontId="31" fillId="4" borderId="0" xfId="0" applyNumberFormat="1" applyFont="1" applyFill="1"/>
    <xf numFmtId="167" fontId="24" fillId="4" borderId="0" xfId="0" applyNumberFormat="1" applyFont="1" applyFill="1"/>
    <xf numFmtId="167" fontId="62" fillId="12" borderId="15" xfId="0" applyNumberFormat="1" applyFont="1" applyFill="1" applyBorder="1" applyAlignment="1">
      <alignment horizontal="right"/>
    </xf>
    <xf numFmtId="0" fontId="24" fillId="3" borderId="0" xfId="0" applyFont="1" applyFill="1" applyAlignment="1">
      <alignment vertical="center"/>
    </xf>
    <xf numFmtId="166" fontId="61" fillId="3" borderId="15" xfId="1" applyFont="1" applyFill="1" applyBorder="1" applyAlignment="1" applyProtection="1">
      <alignment horizontal="right" vertical="center" wrapText="1"/>
    </xf>
    <xf numFmtId="0" fontId="24" fillId="14" borderId="0" xfId="0" applyFont="1" applyFill="1" applyAlignment="1">
      <alignment vertical="center"/>
    </xf>
    <xf numFmtId="166" fontId="61" fillId="14" borderId="15" xfId="1" applyFont="1" applyFill="1" applyBorder="1" applyAlignment="1" applyProtection="1">
      <alignment horizontal="right" vertical="center" wrapText="1"/>
    </xf>
    <xf numFmtId="167" fontId="62" fillId="27" borderId="17" xfId="0" applyNumberFormat="1" applyFont="1" applyFill="1" applyBorder="1" applyAlignment="1">
      <alignment horizontal="right"/>
    </xf>
    <xf numFmtId="0" fontId="24" fillId="30" borderId="0" xfId="0" applyFont="1" applyFill="1" applyAlignment="1">
      <alignment vertical="center"/>
    </xf>
    <xf numFmtId="166" fontId="61" fillId="30" borderId="15" xfId="1" applyFont="1" applyFill="1" applyBorder="1" applyAlignment="1" applyProtection="1">
      <alignment horizontal="right" vertical="center" wrapText="1"/>
    </xf>
    <xf numFmtId="167" fontId="62" fillId="30" borderId="17" xfId="0" applyNumberFormat="1" applyFont="1" applyFill="1" applyBorder="1" applyAlignment="1">
      <alignment horizontal="right"/>
    </xf>
    <xf numFmtId="0" fontId="24" fillId="18" borderId="15" xfId="0" applyFont="1" applyFill="1" applyBorder="1" applyAlignment="1">
      <alignment vertical="center"/>
    </xf>
    <xf numFmtId="166" fontId="61" fillId="18" borderId="15" xfId="1" applyFont="1" applyFill="1" applyBorder="1" applyAlignment="1" applyProtection="1">
      <alignment horizontal="right" vertical="center" wrapText="1"/>
    </xf>
    <xf numFmtId="167" fontId="62" fillId="18" borderId="17" xfId="0" applyNumberFormat="1" applyFont="1" applyFill="1" applyBorder="1" applyAlignment="1">
      <alignment horizontal="right"/>
    </xf>
    <xf numFmtId="167" fontId="36" fillId="18" borderId="15" xfId="0" applyNumberFormat="1" applyFont="1" applyFill="1" applyBorder="1" applyAlignment="1">
      <alignment horizontal="right"/>
    </xf>
    <xf numFmtId="167" fontId="30" fillId="4" borderId="15" xfId="0" applyNumberFormat="1" applyFont="1" applyFill="1" applyBorder="1" applyAlignment="1" applyProtection="1">
      <alignment horizontal="right" wrapText="1"/>
      <protection locked="0"/>
    </xf>
    <xf numFmtId="167" fontId="51" fillId="4" borderId="15" xfId="0" applyNumberFormat="1" applyFont="1" applyFill="1" applyBorder="1" applyAlignment="1" applyProtection="1">
      <alignment horizontal="left" vertical="center" wrapText="1"/>
      <protection locked="0"/>
    </xf>
    <xf numFmtId="167" fontId="30" fillId="4" borderId="0" xfId="0" applyNumberFormat="1" applyFont="1" applyFill="1" applyAlignment="1">
      <alignment horizontal="right"/>
    </xf>
    <xf numFmtId="1" fontId="31" fillId="8" borderId="15" xfId="0" applyNumberFormat="1" applyFont="1" applyFill="1" applyBorder="1" applyAlignment="1">
      <alignment horizontal="center"/>
    </xf>
    <xf numFmtId="0" fontId="24" fillId="13" borderId="15" xfId="0" applyFont="1" applyFill="1" applyBorder="1"/>
    <xf numFmtId="167" fontId="24" fillId="13" borderId="15" xfId="0" applyNumberFormat="1" applyFont="1" applyFill="1" applyBorder="1" applyProtection="1">
      <protection locked="0"/>
    </xf>
    <xf numFmtId="167" fontId="24" fillId="4" borderId="0" xfId="0" applyNumberFormat="1" applyFont="1" applyFill="1" applyAlignment="1">
      <alignment vertical="center" wrapText="1"/>
    </xf>
    <xf numFmtId="167" fontId="36" fillId="8" borderId="15" xfId="0" applyNumberFormat="1" applyFont="1" applyFill="1" applyBorder="1" applyAlignment="1">
      <alignment horizontal="right"/>
    </xf>
    <xf numFmtId="167" fontId="30" fillId="0" borderId="15" xfId="0" applyNumberFormat="1" applyFont="1" applyBorder="1" applyAlignment="1" applyProtection="1">
      <alignment horizontal="right" vertical="center" wrapText="1"/>
      <protection locked="0"/>
    </xf>
    <xf numFmtId="0" fontId="30" fillId="4" borderId="0" xfId="0" applyFont="1" applyFill="1" applyAlignment="1">
      <alignment horizontal="right"/>
    </xf>
    <xf numFmtId="0" fontId="30" fillId="4" borderId="0" xfId="0" applyFont="1" applyFill="1" applyAlignment="1">
      <alignment horizontal="center"/>
    </xf>
    <xf numFmtId="0" fontId="24" fillId="15" borderId="15" xfId="0" applyFont="1" applyFill="1" applyBorder="1"/>
    <xf numFmtId="167" fontId="24" fillId="15" borderId="15" xfId="0" applyNumberFormat="1" applyFont="1" applyFill="1" applyBorder="1" applyProtection="1">
      <protection locked="0"/>
    </xf>
    <xf numFmtId="0" fontId="24" fillId="15" borderId="17" xfId="0" applyFont="1" applyFill="1" applyBorder="1"/>
    <xf numFmtId="167" fontId="24" fillId="15" borderId="17" xfId="0" applyNumberFormat="1" applyFont="1" applyFill="1" applyBorder="1" applyProtection="1">
      <protection locked="0"/>
    </xf>
    <xf numFmtId="0" fontId="24" fillId="15" borderId="16" xfId="0" applyFont="1" applyFill="1" applyBorder="1"/>
    <xf numFmtId="167" fontId="24" fillId="15" borderId="19" xfId="0" applyNumberFormat="1" applyFont="1" applyFill="1" applyBorder="1" applyProtection="1">
      <protection locked="0"/>
    </xf>
    <xf numFmtId="167" fontId="30" fillId="0" borderId="19" xfId="0" applyNumberFormat="1" applyFont="1" applyBorder="1" applyAlignment="1" applyProtection="1">
      <alignment horizontal="right"/>
      <protection locked="0"/>
    </xf>
    <xf numFmtId="0" fontId="24" fillId="15" borderId="13" xfId="0" applyFont="1" applyFill="1" applyBorder="1"/>
    <xf numFmtId="167" fontId="24" fillId="15" borderId="13" xfId="0" applyNumberFormat="1" applyFont="1" applyFill="1" applyBorder="1" applyProtection="1">
      <protection locked="0"/>
    </xf>
    <xf numFmtId="0" fontId="31" fillId="4" borderId="0" xfId="0" applyFont="1" applyFill="1"/>
    <xf numFmtId="167" fontId="36" fillId="0" borderId="15" xfId="0" applyNumberFormat="1" applyFont="1" applyBorder="1" applyAlignment="1">
      <alignment horizontal="right"/>
    </xf>
    <xf numFmtId="167" fontId="52" fillId="0" borderId="15" xfId="0" applyNumberFormat="1" applyFont="1" applyBorder="1" applyAlignment="1">
      <alignment horizontal="left" vertical="center" wrapText="1"/>
    </xf>
    <xf numFmtId="0" fontId="51" fillId="4" borderId="0" xfId="0" applyFont="1" applyFill="1" applyAlignment="1">
      <alignment horizontal="left"/>
    </xf>
    <xf numFmtId="1" fontId="63" fillId="4" borderId="0" xfId="0" applyNumberFormat="1" applyFont="1" applyFill="1" applyAlignment="1">
      <alignment horizontal="right"/>
    </xf>
    <xf numFmtId="167" fontId="30" fillId="13" borderId="15" xfId="0" applyNumberFormat="1" applyFont="1" applyFill="1" applyBorder="1" applyAlignment="1">
      <alignment horizontal="right"/>
    </xf>
    <xf numFmtId="0" fontId="24" fillId="4" borderId="0" xfId="0" applyFont="1" applyFill="1" applyAlignment="1">
      <alignment horizontal="right"/>
    </xf>
    <xf numFmtId="1" fontId="31" fillId="8" borderId="15" xfId="0" applyNumberFormat="1" applyFont="1" applyFill="1" applyBorder="1" applyAlignment="1">
      <alignment horizontal="center" vertical="center"/>
    </xf>
    <xf numFmtId="0" fontId="24" fillId="32" borderId="15" xfId="0" applyFont="1" applyFill="1" applyBorder="1" applyAlignment="1">
      <alignment vertical="center" wrapText="1"/>
    </xf>
    <xf numFmtId="0" fontId="24" fillId="32" borderId="15" xfId="0" applyFont="1" applyFill="1" applyBorder="1" applyAlignment="1">
      <alignment vertical="center"/>
    </xf>
    <xf numFmtId="167" fontId="30" fillId="4" borderId="15" xfId="0" applyNumberFormat="1" applyFont="1" applyFill="1" applyBorder="1"/>
    <xf numFmtId="0" fontId="24" fillId="32" borderId="17" xfId="0" applyFont="1" applyFill="1" applyBorder="1" applyAlignment="1">
      <alignment vertical="center"/>
    </xf>
    <xf numFmtId="0" fontId="24" fillId="32" borderId="16" xfId="0" applyFont="1" applyFill="1" applyBorder="1" applyAlignment="1">
      <alignment vertical="center"/>
    </xf>
    <xf numFmtId="0" fontId="24" fillId="32" borderId="18" xfId="0" applyFont="1" applyFill="1" applyBorder="1" applyAlignment="1">
      <alignment vertical="center"/>
    </xf>
    <xf numFmtId="0" fontId="24" fillId="32" borderId="22" xfId="0" applyFont="1" applyFill="1" applyBorder="1" applyAlignment="1">
      <alignment vertical="center"/>
    </xf>
    <xf numFmtId="167" fontId="30" fillId="4" borderId="19" xfId="0" applyNumberFormat="1" applyFont="1" applyFill="1" applyBorder="1"/>
    <xf numFmtId="0" fontId="24" fillId="32" borderId="19" xfId="0" applyFont="1" applyFill="1" applyBorder="1" applyAlignment="1">
      <alignment vertical="center"/>
    </xf>
    <xf numFmtId="0" fontId="24" fillId="32" borderId="13" xfId="0" applyFont="1" applyFill="1" applyBorder="1" applyAlignment="1">
      <alignment vertical="center"/>
    </xf>
    <xf numFmtId="164" fontId="24" fillId="20" borderId="0" xfId="0" applyNumberFormat="1" applyFont="1" applyFill="1" applyAlignment="1" applyProtection="1">
      <alignment horizontal="right" vertical="center" wrapText="1"/>
      <protection hidden="1"/>
    </xf>
    <xf numFmtId="0" fontId="54" fillId="9" borderId="0" xfId="0" applyFont="1" applyFill="1" applyAlignment="1" applyProtection="1">
      <alignment vertical="center"/>
      <protection hidden="1"/>
    </xf>
    <xf numFmtId="0" fontId="54" fillId="4" borderId="0" xfId="0" applyFont="1" applyFill="1" applyAlignment="1" applyProtection="1">
      <alignment vertical="center"/>
      <protection hidden="1"/>
    </xf>
    <xf numFmtId="167" fontId="62" fillId="3" borderId="17" xfId="0" applyNumberFormat="1" applyFont="1" applyFill="1" applyBorder="1" applyAlignment="1">
      <alignment horizontal="right"/>
    </xf>
    <xf numFmtId="0" fontId="6" fillId="4" borderId="0" xfId="0" applyFont="1" applyFill="1"/>
    <xf numFmtId="0" fontId="66" fillId="4" borderId="0" xfId="0" applyFont="1" applyFill="1"/>
    <xf numFmtId="166" fontId="67" fillId="4" borderId="0" xfId="1" applyFont="1" applyFill="1" applyBorder="1" applyAlignment="1" applyProtection="1">
      <alignment horizontal="right" vertical="center" wrapText="1"/>
    </xf>
    <xf numFmtId="0" fontId="6" fillId="4" borderId="0" xfId="0" applyFont="1" applyFill="1" applyAlignment="1">
      <alignment vertical="center"/>
    </xf>
    <xf numFmtId="0" fontId="6" fillId="4" borderId="0" xfId="0" applyFont="1" applyFill="1" applyAlignment="1">
      <alignment vertical="center" wrapText="1"/>
    </xf>
    <xf numFmtId="167" fontId="68" fillId="4" borderId="0" xfId="0" applyNumberFormat="1" applyFont="1" applyFill="1" applyAlignment="1" applyProtection="1">
      <alignment vertical="center"/>
      <protection hidden="1"/>
    </xf>
    <xf numFmtId="0" fontId="9" fillId="4" borderId="23" xfId="0" applyFont="1" applyFill="1" applyBorder="1" applyAlignment="1" applyProtection="1">
      <alignment horizontal="left" vertical="center"/>
      <protection hidden="1"/>
    </xf>
    <xf numFmtId="0" fontId="22" fillId="4" borderId="0" xfId="0" applyFont="1" applyFill="1" applyAlignment="1" applyProtection="1">
      <alignment vertical="center" wrapText="1"/>
      <protection hidden="1"/>
    </xf>
    <xf numFmtId="0" fontId="69" fillId="4" borderId="0" xfId="0" applyFont="1" applyFill="1" applyAlignment="1" applyProtection="1">
      <alignment vertical="center"/>
      <protection hidden="1"/>
    </xf>
    <xf numFmtId="0" fontId="69" fillId="4" borderId="22" xfId="0" applyFont="1" applyFill="1" applyBorder="1" applyAlignment="1" applyProtection="1">
      <alignment vertical="center"/>
      <protection hidden="1"/>
    </xf>
    <xf numFmtId="0" fontId="69" fillId="4" borderId="26" xfId="0" applyFont="1" applyFill="1" applyBorder="1" applyAlignment="1" applyProtection="1">
      <alignment vertical="center"/>
      <protection hidden="1"/>
    </xf>
    <xf numFmtId="0" fontId="69" fillId="4" borderId="24" xfId="0" applyFont="1" applyFill="1" applyBorder="1" applyAlignment="1" applyProtection="1">
      <alignment vertical="center"/>
      <protection hidden="1"/>
    </xf>
    <xf numFmtId="0" fontId="69" fillId="4" borderId="0" xfId="0" applyFont="1" applyFill="1" applyAlignment="1" applyProtection="1">
      <alignment horizontal="center" vertical="center"/>
      <protection hidden="1"/>
    </xf>
    <xf numFmtId="9" fontId="69" fillId="4" borderId="0" xfId="2" applyFont="1" applyFill="1" applyAlignment="1" applyProtection="1">
      <alignment vertical="center"/>
      <protection hidden="1"/>
    </xf>
    <xf numFmtId="0" fontId="69" fillId="9" borderId="19" xfId="0" applyFont="1" applyFill="1" applyBorder="1" applyAlignment="1" applyProtection="1">
      <alignment vertical="center"/>
      <protection hidden="1"/>
    </xf>
    <xf numFmtId="10" fontId="70" fillId="4" borderId="26" xfId="2" applyNumberFormat="1" applyFont="1" applyFill="1" applyBorder="1" applyAlignment="1" applyProtection="1">
      <alignment vertical="center"/>
      <protection hidden="1"/>
    </xf>
    <xf numFmtId="164" fontId="71" fillId="4" borderId="0" xfId="0" applyNumberFormat="1" applyFont="1" applyFill="1" applyAlignment="1" applyProtection="1">
      <alignment horizontal="center" vertical="center"/>
      <protection hidden="1"/>
    </xf>
    <xf numFmtId="0" fontId="71" fillId="4" borderId="0" xfId="0" applyFont="1" applyFill="1" applyAlignment="1" applyProtection="1">
      <alignment horizontal="center" vertical="center"/>
      <protection hidden="1"/>
    </xf>
    <xf numFmtId="0" fontId="71" fillId="4" borderId="0" xfId="0" applyFont="1" applyFill="1" applyAlignment="1" applyProtection="1">
      <alignment horizontal="right" vertical="center"/>
      <protection hidden="1"/>
    </xf>
    <xf numFmtId="10" fontId="71" fillId="4" borderId="0" xfId="2" applyNumberFormat="1" applyFont="1" applyFill="1" applyBorder="1" applyAlignment="1" applyProtection="1">
      <alignment vertical="center"/>
      <protection hidden="1"/>
    </xf>
    <xf numFmtId="0" fontId="71" fillId="4" borderId="0" xfId="0" applyFont="1" applyFill="1" applyAlignment="1" applyProtection="1">
      <alignment vertical="center"/>
      <protection hidden="1"/>
    </xf>
    <xf numFmtId="164" fontId="72" fillId="4" borderId="0" xfId="0" applyNumberFormat="1" applyFont="1" applyFill="1" applyAlignment="1" applyProtection="1">
      <alignment vertical="center"/>
      <protection hidden="1"/>
    </xf>
    <xf numFmtId="9" fontId="71" fillId="4" borderId="0" xfId="2" applyFont="1" applyFill="1" applyBorder="1" applyAlignment="1" applyProtection="1">
      <alignment horizontal="center" vertical="center"/>
      <protection hidden="1"/>
    </xf>
    <xf numFmtId="10" fontId="71" fillId="4" borderId="0" xfId="2" applyNumberFormat="1" applyFont="1" applyFill="1" applyBorder="1" applyAlignment="1" applyProtection="1">
      <alignment horizontal="center" vertical="center"/>
      <protection hidden="1"/>
    </xf>
    <xf numFmtId="1" fontId="68" fillId="4" borderId="0" xfId="0" applyNumberFormat="1" applyFont="1" applyFill="1" applyAlignment="1" applyProtection="1">
      <alignment horizontal="center" vertical="center"/>
      <protection hidden="1"/>
    </xf>
    <xf numFmtId="164" fontId="72" fillId="4" borderId="0" xfId="0" applyNumberFormat="1" applyFont="1" applyFill="1" applyAlignment="1" applyProtection="1">
      <alignment horizontal="center" vertical="center"/>
      <protection hidden="1"/>
    </xf>
    <xf numFmtId="0" fontId="72" fillId="4" borderId="0" xfId="0" applyFont="1" applyFill="1" applyAlignment="1" applyProtection="1">
      <alignment horizontal="center" vertical="center"/>
      <protection hidden="1"/>
    </xf>
    <xf numFmtId="0" fontId="73" fillId="4" borderId="0" xfId="0" applyFont="1" applyFill="1" applyAlignment="1" applyProtection="1">
      <alignment vertical="center"/>
      <protection hidden="1"/>
    </xf>
    <xf numFmtId="0" fontId="73" fillId="4" borderId="0" xfId="0" applyFont="1" applyFill="1" applyAlignment="1" applyProtection="1">
      <alignment horizontal="right" vertical="center"/>
      <protection hidden="1"/>
    </xf>
    <xf numFmtId="0" fontId="74" fillId="4" borderId="0" xfId="0" applyFont="1" applyFill="1" applyAlignment="1" applyProtection="1">
      <alignment vertical="center"/>
      <protection hidden="1"/>
    </xf>
    <xf numFmtId="167" fontId="61" fillId="4" borderId="0" xfId="0" applyNumberFormat="1" applyFont="1" applyFill="1" applyAlignment="1" applyProtection="1">
      <alignment vertical="center"/>
      <protection hidden="1"/>
    </xf>
    <xf numFmtId="167" fontId="30" fillId="10" borderId="15" xfId="0" applyNumberFormat="1" applyFont="1" applyFill="1" applyBorder="1" applyAlignment="1">
      <alignment vertical="center"/>
    </xf>
    <xf numFmtId="0" fontId="24" fillId="4" borderId="0" xfId="0" applyFont="1" applyFill="1" applyAlignment="1">
      <alignment vertical="center"/>
    </xf>
    <xf numFmtId="0" fontId="66" fillId="4" borderId="0" xfId="0" applyFont="1" applyFill="1" applyAlignment="1">
      <alignment vertical="center"/>
    </xf>
    <xf numFmtId="0" fontId="24" fillId="7" borderId="0" xfId="0" applyFont="1" applyFill="1" applyAlignment="1" applyProtection="1">
      <alignment horizontal="left" vertical="center"/>
      <protection locked="0" hidden="1"/>
    </xf>
    <xf numFmtId="0" fontId="39" fillId="6" borderId="0" xfId="0" applyFont="1" applyFill="1" applyAlignment="1" applyProtection="1">
      <alignment horizontal="center" vertical="center"/>
      <protection locked="0" hidden="1"/>
    </xf>
    <xf numFmtId="0" fontId="76" fillId="0" borderId="15" xfId="0" applyFont="1" applyBorder="1" applyAlignment="1">
      <alignment horizontal="center" vertical="center" wrapText="1"/>
    </xf>
    <xf numFmtId="166" fontId="76" fillId="0" borderId="15" xfId="1" applyFont="1" applyBorder="1" applyAlignment="1">
      <alignment horizontal="center" vertical="center" wrapText="1"/>
    </xf>
    <xf numFmtId="166" fontId="76" fillId="36" borderId="15" xfId="1" applyFont="1" applyFill="1" applyBorder="1" applyAlignment="1">
      <alignment horizontal="center" vertical="center" wrapText="1"/>
    </xf>
    <xf numFmtId="166" fontId="76" fillId="3" borderId="15" xfId="1" applyFont="1" applyFill="1" applyBorder="1" applyAlignment="1">
      <alignment horizontal="center" vertical="center" wrapText="1"/>
    </xf>
    <xf numFmtId="0" fontId="77" fillId="37" borderId="15" xfId="0" applyFont="1" applyFill="1" applyBorder="1" applyAlignment="1">
      <alignment horizontal="center" vertical="center" wrapText="1"/>
    </xf>
    <xf numFmtId="166" fontId="77" fillId="2" borderId="15" xfId="1" applyFont="1" applyFill="1" applyBorder="1" applyAlignment="1">
      <alignment horizontal="center" vertical="center" wrapText="1"/>
    </xf>
    <xf numFmtId="166" fontId="77" fillId="33" borderId="15" xfId="1" applyFont="1" applyFill="1" applyBorder="1" applyAlignment="1">
      <alignment horizontal="center" vertical="center" wrapText="1"/>
    </xf>
    <xf numFmtId="166" fontId="77" fillId="34" borderId="15" xfId="1" applyFont="1" applyFill="1" applyBorder="1" applyAlignment="1">
      <alignment horizontal="center" vertical="center" wrapText="1"/>
    </xf>
    <xf numFmtId="166" fontId="77" fillId="38" borderId="15" xfId="1" applyFont="1" applyFill="1" applyBorder="1" applyAlignment="1">
      <alignment horizontal="center" vertical="center" wrapText="1"/>
    </xf>
    <xf numFmtId="166" fontId="77" fillId="35" borderId="15" xfId="1" applyFont="1" applyFill="1" applyBorder="1" applyAlignment="1">
      <alignment horizontal="center" vertical="center" wrapText="1"/>
    </xf>
    <xf numFmtId="166" fontId="77" fillId="39" borderId="15" xfId="1" applyFont="1" applyFill="1" applyBorder="1" applyAlignment="1">
      <alignment horizontal="center" vertical="center" wrapText="1"/>
    </xf>
    <xf numFmtId="166" fontId="77" fillId="37" borderId="15" xfId="1" applyFont="1" applyFill="1" applyBorder="1" applyAlignment="1">
      <alignment horizontal="center" vertical="center" wrapText="1"/>
    </xf>
    <xf numFmtId="166" fontId="76" fillId="40" borderId="15" xfId="1" applyFont="1" applyFill="1" applyBorder="1" applyAlignment="1">
      <alignment horizontal="center" vertical="center" wrapText="1"/>
    </xf>
    <xf numFmtId="14" fontId="76" fillId="0" borderId="15" xfId="0" applyNumberFormat="1" applyFont="1" applyBorder="1" applyAlignment="1">
      <alignment horizontal="center" vertical="center" wrapText="1"/>
    </xf>
    <xf numFmtId="14" fontId="75" fillId="0" borderId="15" xfId="0" applyNumberFormat="1" applyFont="1" applyBorder="1" applyAlignment="1">
      <alignment horizontal="center" vertical="center" wrapText="1"/>
    </xf>
    <xf numFmtId="0" fontId="75" fillId="0" borderId="15" xfId="0" applyFont="1" applyBorder="1" applyAlignment="1">
      <alignment horizontal="center" vertical="center" wrapText="1"/>
    </xf>
    <xf numFmtId="166" fontId="75" fillId="0" borderId="15" xfId="1" applyFont="1" applyBorder="1" applyAlignment="1">
      <alignment horizontal="center" vertical="center" wrapText="1"/>
    </xf>
    <xf numFmtId="0" fontId="78" fillId="0" borderId="15" xfId="0" applyFont="1" applyBorder="1" applyAlignment="1">
      <alignment horizontal="center" wrapText="1"/>
    </xf>
    <xf numFmtId="4" fontId="78" fillId="0" borderId="15" xfId="0" applyNumberFormat="1" applyFont="1" applyBorder="1" applyAlignment="1">
      <alignment wrapText="1"/>
    </xf>
    <xf numFmtId="0" fontId="79" fillId="0" borderId="28" xfId="0" applyFont="1" applyBorder="1" applyAlignment="1">
      <alignment horizontal="center" vertical="center" wrapText="1"/>
    </xf>
    <xf numFmtId="43" fontId="79" fillId="0" borderId="28" xfId="0" applyNumberFormat="1" applyFont="1" applyBorder="1" applyAlignment="1">
      <alignment horizontal="center" vertical="center" wrapText="1"/>
    </xf>
    <xf numFmtId="165" fontId="79" fillId="0" borderId="28" xfId="0" applyNumberFormat="1" applyFont="1" applyBorder="1" applyAlignment="1">
      <alignment horizontal="center" vertical="center" wrapText="1"/>
    </xf>
    <xf numFmtId="169" fontId="79" fillId="0" borderId="28" xfId="0" applyNumberFormat="1" applyFont="1" applyBorder="1" applyAlignment="1">
      <alignment horizontal="center" vertical="center" wrapText="1"/>
    </xf>
    <xf numFmtId="0" fontId="79" fillId="0" borderId="28" xfId="0" applyFont="1" applyBorder="1" applyAlignment="1">
      <alignment horizontal="center" vertical="top" wrapText="1"/>
    </xf>
    <xf numFmtId="0" fontId="80" fillId="4" borderId="28" xfId="0" applyFont="1" applyFill="1" applyBorder="1" applyAlignment="1">
      <alignment horizontal="center" vertical="center" wrapText="1"/>
    </xf>
    <xf numFmtId="0" fontId="80" fillId="0" borderId="28" xfId="0" applyFont="1" applyBorder="1" applyAlignment="1">
      <alignment horizontal="center" vertical="center" wrapText="1"/>
    </xf>
    <xf numFmtId="169" fontId="80" fillId="0" borderId="28" xfId="0" applyNumberFormat="1" applyFont="1" applyBorder="1" applyAlignment="1">
      <alignment horizontal="center" vertical="center" wrapText="1"/>
    </xf>
    <xf numFmtId="2" fontId="80" fillId="0" borderId="28" xfId="0" applyNumberFormat="1" applyFont="1" applyBorder="1" applyAlignment="1">
      <alignment horizontal="center" vertical="center" wrapText="1"/>
    </xf>
    <xf numFmtId="43" fontId="80" fillId="0" borderId="28" xfId="0" applyNumberFormat="1" applyFont="1" applyBorder="1" applyAlignment="1">
      <alignment horizontal="center" vertical="center" wrapText="1"/>
    </xf>
    <xf numFmtId="0" fontId="79" fillId="4" borderId="28" xfId="0" applyFont="1" applyFill="1" applyBorder="1" applyAlignment="1">
      <alignment horizontal="center" vertical="center" wrapText="1"/>
    </xf>
    <xf numFmtId="0" fontId="81" fillId="0" borderId="28" xfId="0" applyFont="1" applyBorder="1" applyAlignment="1">
      <alignment horizontal="center" vertical="center" wrapText="1"/>
    </xf>
    <xf numFmtId="169" fontId="81" fillId="0" borderId="28" xfId="0" applyNumberFormat="1" applyFont="1" applyBorder="1" applyAlignment="1">
      <alignment horizontal="center" vertical="center" wrapText="1"/>
    </xf>
    <xf numFmtId="165" fontId="81" fillId="0" borderId="28" xfId="0" applyNumberFormat="1" applyFont="1" applyBorder="1" applyAlignment="1">
      <alignment horizontal="center" vertical="center" wrapText="1"/>
    </xf>
    <xf numFmtId="2" fontId="81" fillId="0" borderId="28" xfId="0" applyNumberFormat="1" applyFont="1" applyBorder="1" applyAlignment="1">
      <alignment horizontal="center" vertical="center" wrapText="1"/>
    </xf>
    <xf numFmtId="44" fontId="81" fillId="0" borderId="28" xfId="0" applyNumberFormat="1" applyFont="1" applyBorder="1" applyAlignment="1">
      <alignment horizontal="center" vertical="center" wrapText="1"/>
    </xf>
    <xf numFmtId="0" fontId="82" fillId="0" borderId="28" xfId="0" applyFont="1" applyBorder="1" applyAlignment="1">
      <alignment horizontal="center" vertical="center" wrapText="1"/>
    </xf>
    <xf numFmtId="0" fontId="81" fillId="43" borderId="28" xfId="0" applyFont="1" applyFill="1" applyBorder="1" applyAlignment="1">
      <alignment horizontal="center" vertical="center" wrapText="1"/>
    </xf>
    <xf numFmtId="169" fontId="81" fillId="43" borderId="28" xfId="0" applyNumberFormat="1" applyFont="1" applyFill="1" applyBorder="1" applyAlignment="1">
      <alignment horizontal="center" vertical="center" wrapText="1"/>
    </xf>
    <xf numFmtId="165" fontId="81" fillId="43" borderId="28" xfId="0" applyNumberFormat="1" applyFont="1" applyFill="1" applyBorder="1" applyAlignment="1">
      <alignment horizontal="center" vertical="center" wrapText="1"/>
    </xf>
    <xf numFmtId="2" fontId="81" fillId="43" borderId="28" xfId="0" applyNumberFormat="1" applyFont="1" applyFill="1" applyBorder="1" applyAlignment="1">
      <alignment horizontal="center" vertical="center" wrapText="1"/>
    </xf>
    <xf numFmtId="165" fontId="83" fillId="43" borderId="28" xfId="0" applyNumberFormat="1" applyFont="1" applyFill="1" applyBorder="1" applyAlignment="1">
      <alignment horizontal="center" wrapText="1"/>
    </xf>
    <xf numFmtId="166" fontId="81" fillId="43" borderId="28" xfId="1" applyFont="1" applyFill="1" applyBorder="1" applyAlignment="1">
      <alignment horizontal="center" vertical="center" wrapText="1"/>
    </xf>
    <xf numFmtId="44" fontId="81" fillId="43" borderId="28" xfId="0" applyNumberFormat="1" applyFont="1" applyFill="1" applyBorder="1" applyAlignment="1">
      <alignment horizontal="center" vertical="center" wrapText="1"/>
    </xf>
    <xf numFmtId="166" fontId="84" fillId="4" borderId="28" xfId="1" applyFont="1" applyFill="1" applyBorder="1" applyAlignment="1">
      <alignment horizontal="center" vertical="center" wrapText="1"/>
    </xf>
    <xf numFmtId="4" fontId="84" fillId="4" borderId="28" xfId="0" applyNumberFormat="1" applyFont="1" applyFill="1" applyBorder="1" applyAlignment="1">
      <alignment horizontal="center" vertical="center" wrapText="1"/>
    </xf>
    <xf numFmtId="0" fontId="84" fillId="4" borderId="28" xfId="0" applyFont="1" applyFill="1" applyBorder="1" applyAlignment="1">
      <alignment horizontal="center" vertical="center" wrapText="1"/>
    </xf>
    <xf numFmtId="44" fontId="84" fillId="4" borderId="28" xfId="0" applyNumberFormat="1" applyFont="1" applyFill="1" applyBorder="1" applyAlignment="1">
      <alignment horizontal="center" vertical="center" wrapText="1"/>
    </xf>
    <xf numFmtId="0" fontId="84" fillId="0" borderId="28" xfId="0" applyFont="1" applyBorder="1" applyAlignment="1">
      <alignment horizontal="center" vertical="center" wrapText="1"/>
    </xf>
    <xf numFmtId="0" fontId="84" fillId="0" borderId="28" xfId="0" applyFont="1" applyBorder="1" applyAlignment="1">
      <alignment horizontal="center" vertical="center"/>
    </xf>
    <xf numFmtId="169" fontId="84" fillId="0" borderId="28" xfId="0" applyNumberFormat="1" applyFont="1" applyBorder="1" applyAlignment="1">
      <alignment horizontal="center" vertical="center"/>
    </xf>
    <xf numFmtId="0" fontId="79" fillId="47" borderId="28" xfId="0" applyFont="1" applyFill="1" applyBorder="1" applyAlignment="1">
      <alignment horizontal="center" vertical="center" wrapText="1"/>
    </xf>
    <xf numFmtId="0" fontId="80" fillId="2" borderId="28" xfId="0" applyFont="1" applyFill="1" applyBorder="1" applyAlignment="1">
      <alignment horizontal="center" vertical="center" wrapText="1"/>
    </xf>
    <xf numFmtId="169" fontId="80" fillId="2" borderId="28" xfId="0" applyNumberFormat="1" applyFont="1" applyFill="1" applyBorder="1" applyAlignment="1">
      <alignment horizontal="center" vertical="center" wrapText="1"/>
    </xf>
    <xf numFmtId="0" fontId="80" fillId="44" borderId="28" xfId="0" applyFont="1" applyFill="1" applyBorder="1" applyAlignment="1">
      <alignment horizontal="center" vertical="center" wrapText="1"/>
    </xf>
    <xf numFmtId="0" fontId="80" fillId="41" borderId="28" xfId="0" applyFont="1" applyFill="1" applyBorder="1" applyAlignment="1">
      <alignment horizontal="center" vertical="center" wrapText="1"/>
    </xf>
    <xf numFmtId="169" fontId="80" fillId="41" borderId="28" xfId="0" applyNumberFormat="1" applyFont="1" applyFill="1" applyBorder="1" applyAlignment="1">
      <alignment horizontal="center" vertical="center" wrapText="1"/>
    </xf>
    <xf numFmtId="43" fontId="80" fillId="41" borderId="28" xfId="0" applyNumberFormat="1" applyFont="1" applyFill="1" applyBorder="1" applyAlignment="1">
      <alignment horizontal="center" vertical="center" wrapText="1"/>
    </xf>
    <xf numFmtId="0" fontId="80" fillId="45" borderId="28" xfId="0" applyFont="1" applyFill="1" applyBorder="1" applyAlignment="1">
      <alignment horizontal="center" vertical="center" wrapText="1"/>
    </xf>
    <xf numFmtId="0" fontId="80" fillId="42" borderId="28" xfId="0" applyFont="1" applyFill="1" applyBorder="1" applyAlignment="1">
      <alignment horizontal="center" vertical="center" wrapText="1"/>
    </xf>
    <xf numFmtId="169" fontId="80" fillId="42" borderId="28" xfId="0" applyNumberFormat="1" applyFont="1" applyFill="1" applyBorder="1" applyAlignment="1">
      <alignment horizontal="center" vertical="center" wrapText="1"/>
    </xf>
    <xf numFmtId="43" fontId="80" fillId="42" borderId="28" xfId="0" applyNumberFormat="1" applyFont="1" applyFill="1" applyBorder="1" applyAlignment="1">
      <alignment horizontal="center" vertical="center" wrapText="1"/>
    </xf>
    <xf numFmtId="0" fontId="80" fillId="26" borderId="28" xfId="0" applyFont="1" applyFill="1" applyBorder="1" applyAlignment="1">
      <alignment horizontal="center" vertical="center" wrapText="1"/>
    </xf>
    <xf numFmtId="165" fontId="80" fillId="0" borderId="28" xfId="0" applyNumberFormat="1" applyFont="1" applyBorder="1" applyAlignment="1">
      <alignment horizontal="center" vertical="center" wrapText="1"/>
    </xf>
    <xf numFmtId="9" fontId="80" fillId="0" borderId="28" xfId="0" applyNumberFormat="1" applyFont="1" applyBorder="1" applyAlignment="1">
      <alignment horizontal="center" vertical="center" wrapText="1"/>
    </xf>
    <xf numFmtId="0" fontId="79" fillId="48" borderId="28" xfId="0" applyFont="1" applyFill="1" applyBorder="1" applyAlignment="1">
      <alignment horizontal="center" vertical="center" wrapText="1"/>
    </xf>
    <xf numFmtId="0" fontId="79" fillId="32" borderId="28" xfId="0" applyFont="1" applyFill="1" applyBorder="1" applyAlignment="1">
      <alignment horizontal="center" vertical="center" wrapText="1"/>
    </xf>
    <xf numFmtId="169" fontId="84" fillId="4" borderId="28" xfId="1" applyNumberFormat="1" applyFont="1" applyFill="1" applyBorder="1" applyAlignment="1">
      <alignment horizontal="center" vertical="center" wrapText="1"/>
    </xf>
    <xf numFmtId="167" fontId="30" fillId="38" borderId="15" xfId="0" applyNumberFormat="1" applyFont="1" applyFill="1" applyBorder="1" applyAlignment="1" applyProtection="1">
      <alignment horizontal="right"/>
      <protection locked="0"/>
    </xf>
    <xf numFmtId="169" fontId="79" fillId="0" borderId="29" xfId="0" applyNumberFormat="1" applyFont="1" applyBorder="1" applyAlignment="1">
      <alignment horizontal="center" vertical="center" wrapText="1"/>
    </xf>
    <xf numFmtId="169" fontId="79" fillId="4" borderId="29" xfId="0" applyNumberFormat="1" applyFont="1" applyFill="1" applyBorder="1" applyAlignment="1">
      <alignment horizontal="center" vertical="center" wrapText="1"/>
    </xf>
    <xf numFmtId="0" fontId="80" fillId="0" borderId="30" xfId="0" applyFont="1" applyBorder="1" applyAlignment="1">
      <alignment horizontal="center" vertical="center" wrapText="1"/>
    </xf>
    <xf numFmtId="0" fontId="80" fillId="2" borderId="30" xfId="0" applyFont="1" applyFill="1" applyBorder="1" applyAlignment="1">
      <alignment horizontal="center" vertical="center" wrapText="1"/>
    </xf>
    <xf numFmtId="169" fontId="80" fillId="0" borderId="30" xfId="0" applyNumberFormat="1" applyFont="1" applyBorder="1" applyAlignment="1">
      <alignment horizontal="center" vertical="center" wrapText="1"/>
    </xf>
    <xf numFmtId="0" fontId="85" fillId="46" borderId="30" xfId="0" applyFont="1" applyFill="1" applyBorder="1" applyAlignment="1">
      <alignment wrapText="1"/>
    </xf>
    <xf numFmtId="0" fontId="79" fillId="0" borderId="30" xfId="0" applyFont="1" applyBorder="1" applyAlignment="1">
      <alignment horizontal="center" vertical="center" wrapText="1"/>
    </xf>
    <xf numFmtId="0" fontId="80" fillId="2" borderId="31" xfId="0" applyFont="1" applyFill="1" applyBorder="1" applyAlignment="1">
      <alignment horizontal="center" vertical="center" wrapText="1"/>
    </xf>
    <xf numFmtId="0" fontId="86" fillId="4" borderId="28" xfId="0" applyFont="1" applyFill="1" applyBorder="1"/>
    <xf numFmtId="0" fontId="87" fillId="4" borderId="28" xfId="0" applyFont="1" applyFill="1" applyBorder="1" applyAlignment="1">
      <alignment wrapText="1"/>
    </xf>
    <xf numFmtId="4" fontId="87" fillId="4" borderId="28" xfId="0" applyNumberFormat="1" applyFont="1" applyFill="1" applyBorder="1" applyAlignment="1">
      <alignment wrapText="1"/>
    </xf>
    <xf numFmtId="0" fontId="84" fillId="4" borderId="28" xfId="0" applyFont="1" applyFill="1" applyBorder="1"/>
    <xf numFmtId="0" fontId="80" fillId="0" borderId="32" xfId="0" applyFont="1" applyBorder="1" applyAlignment="1">
      <alignment horizontal="center" vertical="center" wrapText="1"/>
    </xf>
    <xf numFmtId="0" fontId="80" fillId="2" borderId="32" xfId="0" applyFont="1" applyFill="1" applyBorder="1" applyAlignment="1">
      <alignment horizontal="center" vertical="center" wrapText="1"/>
    </xf>
    <xf numFmtId="169" fontId="80" fillId="0" borderId="32" xfId="0" applyNumberFormat="1" applyFont="1" applyBorder="1" applyAlignment="1">
      <alignment horizontal="center" vertical="center" wrapText="1"/>
    </xf>
    <xf numFmtId="0" fontId="85" fillId="46" borderId="32" xfId="0" applyFont="1" applyFill="1" applyBorder="1" applyAlignment="1">
      <alignment wrapText="1"/>
    </xf>
    <xf numFmtId="0" fontId="79" fillId="0" borderId="32" xfId="0" applyFont="1" applyBorder="1" applyAlignment="1">
      <alignment horizontal="center" vertical="center" wrapText="1"/>
    </xf>
    <xf numFmtId="169" fontId="80" fillId="2" borderId="31" xfId="0" applyNumberFormat="1" applyFont="1" applyFill="1" applyBorder="1" applyAlignment="1">
      <alignment horizontal="center" vertical="center" wrapText="1"/>
    </xf>
    <xf numFmtId="4" fontId="80" fillId="49" borderId="28" xfId="0" applyNumberFormat="1" applyFont="1" applyFill="1" applyBorder="1" applyAlignment="1">
      <alignment wrapText="1"/>
    </xf>
    <xf numFmtId="0" fontId="80" fillId="49" borderId="28" xfId="0" applyFont="1" applyFill="1" applyBorder="1" applyAlignment="1">
      <alignment wrapText="1"/>
    </xf>
    <xf numFmtId="169" fontId="79" fillId="49" borderId="29" xfId="0" applyNumberFormat="1" applyFont="1" applyFill="1" applyBorder="1" applyAlignment="1">
      <alignment horizontal="center" vertical="center" wrapText="1"/>
    </xf>
    <xf numFmtId="169" fontId="80" fillId="49" borderId="28" xfId="0" applyNumberFormat="1" applyFont="1" applyFill="1" applyBorder="1" applyAlignment="1">
      <alignment wrapText="1"/>
    </xf>
    <xf numFmtId="169" fontId="84" fillId="4" borderId="28" xfId="0" applyNumberFormat="1" applyFont="1" applyFill="1" applyBorder="1"/>
    <xf numFmtId="169" fontId="86" fillId="4" borderId="28" xfId="0" applyNumberFormat="1" applyFont="1" applyFill="1" applyBorder="1"/>
    <xf numFmtId="169" fontId="80" fillId="49" borderId="31" xfId="0" applyNumberFormat="1" applyFont="1" applyFill="1" applyBorder="1" applyAlignment="1">
      <alignment wrapText="1"/>
    </xf>
    <xf numFmtId="4" fontId="80" fillId="49" borderId="31" xfId="0" applyNumberFormat="1" applyFont="1" applyFill="1" applyBorder="1" applyAlignment="1">
      <alignment wrapText="1"/>
    </xf>
    <xf numFmtId="0" fontId="80" fillId="49" borderId="31" xfId="0" applyFont="1" applyFill="1" applyBorder="1" applyAlignment="1">
      <alignment wrapText="1"/>
    </xf>
    <xf numFmtId="0" fontId="80" fillId="0" borderId="31" xfId="0" applyFont="1" applyBorder="1" applyAlignment="1">
      <alignment horizontal="center" vertical="center" wrapText="1"/>
    </xf>
    <xf numFmtId="169" fontId="87" fillId="4" borderId="31" xfId="0" applyNumberFormat="1" applyFont="1" applyFill="1" applyBorder="1" applyAlignment="1">
      <alignment wrapText="1"/>
    </xf>
    <xf numFmtId="0" fontId="87" fillId="4" borderId="31" xfId="0" applyFont="1" applyFill="1" applyBorder="1" applyAlignment="1">
      <alignment wrapText="1"/>
    </xf>
    <xf numFmtId="4" fontId="87" fillId="4" borderId="31" xfId="0" applyNumberFormat="1" applyFont="1" applyFill="1" applyBorder="1" applyAlignment="1">
      <alignment wrapText="1"/>
    </xf>
    <xf numFmtId="0" fontId="80" fillId="0" borderId="31" xfId="0" applyFont="1" applyBorder="1" applyAlignment="1">
      <alignment horizontal="right" vertical="center" wrapText="1"/>
    </xf>
    <xf numFmtId="0" fontId="4" fillId="5" borderId="0" xfId="0" applyFont="1" applyFill="1" applyAlignment="1">
      <alignment horizontal="center" vertical="center" wrapText="1"/>
    </xf>
    <xf numFmtId="0" fontId="4" fillId="5" borderId="0" xfId="0" applyFont="1" applyFill="1" applyAlignment="1">
      <alignment horizontal="center" vertical="center"/>
    </xf>
    <xf numFmtId="0" fontId="4" fillId="6" borderId="0" xfId="0" applyFont="1" applyFill="1" applyAlignment="1" applyProtection="1">
      <alignment horizontal="center" vertical="center"/>
      <protection locked="0"/>
    </xf>
    <xf numFmtId="0" fontId="43" fillId="4" borderId="0" xfId="0" applyFont="1" applyFill="1" applyAlignment="1">
      <alignment horizontal="center" vertical="center"/>
    </xf>
    <xf numFmtId="0" fontId="44" fillId="4" borderId="21" xfId="0" applyFont="1" applyFill="1" applyBorder="1" applyAlignment="1">
      <alignment horizontal="center"/>
    </xf>
    <xf numFmtId="0" fontId="44" fillId="4" borderId="22" xfId="0" applyFont="1" applyFill="1" applyBorder="1" applyAlignment="1">
      <alignment horizontal="center"/>
    </xf>
    <xf numFmtId="0" fontId="44" fillId="4" borderId="0" xfId="0" quotePrefix="1" applyFont="1" applyFill="1" applyAlignment="1">
      <alignment horizontal="center"/>
    </xf>
    <xf numFmtId="0" fontId="44" fillId="4" borderId="26" xfId="0" applyFont="1" applyFill="1" applyBorder="1" applyAlignment="1">
      <alignment horizontal="center"/>
    </xf>
    <xf numFmtId="15" fontId="44" fillId="4" borderId="23" xfId="0" applyNumberFormat="1" applyFont="1" applyFill="1" applyBorder="1" applyAlignment="1">
      <alignment horizontal="center"/>
    </xf>
    <xf numFmtId="0" fontId="44" fillId="4" borderId="24" xfId="0" applyFont="1" applyFill="1" applyBorder="1" applyAlignment="1">
      <alignment horizontal="center"/>
    </xf>
    <xf numFmtId="167" fontId="65" fillId="6" borderId="0" xfId="0" applyNumberFormat="1" applyFont="1" applyFill="1" applyAlignment="1">
      <alignment horizontal="center" vertical="top"/>
    </xf>
    <xf numFmtId="0" fontId="65" fillId="5" borderId="0" xfId="0" applyFont="1" applyFill="1" applyAlignment="1">
      <alignment horizontal="center" vertical="center"/>
    </xf>
    <xf numFmtId="167" fontId="65" fillId="5" borderId="0" xfId="0" applyNumberFormat="1" applyFont="1" applyFill="1" applyAlignment="1">
      <alignment horizontal="center" vertical="top"/>
    </xf>
    <xf numFmtId="0" fontId="58" fillId="5" borderId="0" xfId="0" applyFont="1" applyFill="1" applyAlignment="1">
      <alignment horizontal="center" vertical="center"/>
    </xf>
    <xf numFmtId="0" fontId="59" fillId="4" borderId="18" xfId="0" applyFont="1" applyFill="1" applyBorder="1" applyAlignment="1">
      <alignment horizontal="center" vertical="center"/>
    </xf>
    <xf numFmtId="0" fontId="59" fillId="4" borderId="21" xfId="0" applyFont="1" applyFill="1" applyBorder="1" applyAlignment="1">
      <alignment horizontal="center" vertical="center"/>
    </xf>
    <xf numFmtId="0" fontId="59" fillId="4" borderId="22" xfId="0" applyFont="1" applyFill="1" applyBorder="1" applyAlignment="1">
      <alignment horizontal="center" vertical="center"/>
    </xf>
    <xf numFmtId="0" fontId="59" fillId="4" borderId="14" xfId="0" applyFont="1" applyFill="1" applyBorder="1" applyAlignment="1">
      <alignment horizontal="center" vertical="center"/>
    </xf>
    <xf numFmtId="0" fontId="59" fillId="4" borderId="23" xfId="0" applyFont="1" applyFill="1" applyBorder="1" applyAlignment="1">
      <alignment horizontal="center" vertical="center"/>
    </xf>
    <xf numFmtId="0" fontId="59" fillId="4" borderId="24" xfId="0" applyFont="1" applyFill="1" applyBorder="1" applyAlignment="1">
      <alignment horizontal="center" vertical="center"/>
    </xf>
    <xf numFmtId="0" fontId="60" fillId="4" borderId="18" xfId="0" applyFont="1" applyFill="1" applyBorder="1" applyAlignment="1" applyProtection="1">
      <alignment horizontal="left" vertical="center"/>
      <protection hidden="1"/>
    </xf>
    <xf numFmtId="0" fontId="60" fillId="4" borderId="21" xfId="0" applyFont="1" applyFill="1" applyBorder="1" applyAlignment="1" applyProtection="1">
      <alignment horizontal="left" vertical="center"/>
      <protection hidden="1"/>
    </xf>
    <xf numFmtId="0" fontId="60" fillId="4" borderId="22" xfId="0" applyFont="1" applyFill="1" applyBorder="1" applyAlignment="1" applyProtection="1">
      <alignment horizontal="left" vertical="center"/>
      <protection hidden="1"/>
    </xf>
    <xf numFmtId="0" fontId="60" fillId="4" borderId="14" xfId="0" applyFont="1" applyFill="1" applyBorder="1" applyAlignment="1" applyProtection="1">
      <alignment horizontal="left" vertical="center"/>
      <protection hidden="1"/>
    </xf>
    <xf numFmtId="0" fontId="60" fillId="4" borderId="23" xfId="0" applyFont="1" applyFill="1" applyBorder="1" applyAlignment="1" applyProtection="1">
      <alignment horizontal="left" vertical="center"/>
      <protection hidden="1"/>
    </xf>
    <xf numFmtId="0" fontId="60" fillId="4" borderId="24" xfId="0" applyFont="1" applyFill="1" applyBorder="1" applyAlignment="1" applyProtection="1">
      <alignment horizontal="left" vertical="center"/>
      <protection hidden="1"/>
    </xf>
    <xf numFmtId="0" fontId="65" fillId="6" borderId="0" xfId="0" applyFont="1" applyFill="1" applyAlignment="1">
      <alignment horizontal="center" vertical="center"/>
    </xf>
    <xf numFmtId="0" fontId="31" fillId="10" borderId="15" xfId="0" applyFont="1" applyFill="1" applyBorder="1" applyAlignment="1">
      <alignment horizontal="center" vertical="center"/>
    </xf>
    <xf numFmtId="0" fontId="24" fillId="13" borderId="16" xfId="0" applyFont="1" applyFill="1" applyBorder="1" applyAlignment="1">
      <alignment horizontal="right"/>
    </xf>
    <xf numFmtId="0" fontId="24" fillId="13" borderId="20" xfId="0" applyFont="1" applyFill="1" applyBorder="1" applyAlignment="1">
      <alignment horizontal="right"/>
    </xf>
    <xf numFmtId="0" fontId="24" fillId="13" borderId="19" xfId="0" applyFont="1" applyFill="1" applyBorder="1" applyAlignment="1">
      <alignment horizontal="right"/>
    </xf>
    <xf numFmtId="0" fontId="64" fillId="10" borderId="15" xfId="0" applyFont="1" applyFill="1" applyBorder="1" applyAlignment="1">
      <alignment horizontal="left" vertical="center"/>
    </xf>
    <xf numFmtId="0" fontId="50" fillId="4" borderId="18" xfId="0" applyFont="1" applyFill="1" applyBorder="1" applyAlignment="1">
      <alignment horizontal="center" vertical="center"/>
    </xf>
    <xf numFmtId="0" fontId="50" fillId="4" borderId="21" xfId="0" applyFont="1" applyFill="1" applyBorder="1" applyAlignment="1">
      <alignment horizontal="center" vertical="center"/>
    </xf>
    <xf numFmtId="0" fontId="50" fillId="4" borderId="22" xfId="0" applyFont="1" applyFill="1" applyBorder="1" applyAlignment="1">
      <alignment horizontal="center" vertical="center"/>
    </xf>
    <xf numFmtId="0" fontId="50" fillId="4" borderId="14" xfId="0" applyFont="1" applyFill="1" applyBorder="1" applyAlignment="1">
      <alignment horizontal="center" vertical="center"/>
    </xf>
    <xf numFmtId="0" fontId="50" fillId="4" borderId="23" xfId="0" applyFont="1" applyFill="1" applyBorder="1" applyAlignment="1">
      <alignment horizontal="center" vertical="center"/>
    </xf>
    <xf numFmtId="0" fontId="50" fillId="4" borderId="24" xfId="0" applyFont="1" applyFill="1" applyBorder="1" applyAlignment="1">
      <alignment horizontal="center" vertical="center"/>
    </xf>
    <xf numFmtId="0" fontId="24" fillId="30" borderId="15" xfId="0" applyFont="1" applyFill="1" applyBorder="1" applyAlignment="1">
      <alignment horizontal="center" vertical="center"/>
    </xf>
    <xf numFmtId="0" fontId="24" fillId="30" borderId="17" xfId="0" applyFont="1" applyFill="1" applyBorder="1" applyAlignment="1">
      <alignment horizontal="center" vertical="center"/>
    </xf>
    <xf numFmtId="0" fontId="24" fillId="30" borderId="17" xfId="0" applyFont="1" applyFill="1" applyBorder="1" applyAlignment="1">
      <alignment horizontal="right" vertical="center"/>
    </xf>
    <xf numFmtId="0" fontId="24" fillId="30" borderId="27" xfId="0" applyFont="1" applyFill="1" applyBorder="1" applyAlignment="1">
      <alignment horizontal="right" vertical="center"/>
    </xf>
    <xf numFmtId="0" fontId="24" fillId="30" borderId="13" xfId="0" applyFont="1" applyFill="1" applyBorder="1" applyAlignment="1">
      <alignment horizontal="right" vertical="center"/>
    </xf>
    <xf numFmtId="166" fontId="61" fillId="30" borderId="17" xfId="1" applyFont="1" applyFill="1" applyBorder="1" applyAlignment="1" applyProtection="1">
      <alignment horizontal="right" vertical="center" wrapText="1"/>
    </xf>
    <xf numFmtId="0" fontId="31" fillId="8" borderId="16" xfId="0" applyFont="1" applyFill="1" applyBorder="1" applyAlignment="1">
      <alignment horizontal="right"/>
    </xf>
    <xf numFmtId="0" fontId="31" fillId="8" borderId="20" xfId="0" applyFont="1" applyFill="1" applyBorder="1" applyAlignment="1">
      <alignment horizontal="right"/>
    </xf>
    <xf numFmtId="0" fontId="31" fillId="8" borderId="19" xfId="0" applyFont="1" applyFill="1" applyBorder="1" applyAlignment="1">
      <alignment horizontal="right"/>
    </xf>
    <xf numFmtId="0" fontId="31" fillId="8" borderId="16" xfId="0" applyFont="1" applyFill="1" applyBorder="1" applyAlignment="1">
      <alignment horizontal="right" vertical="center" wrapText="1"/>
    </xf>
    <xf numFmtId="0" fontId="31" fillId="8" borderId="20" xfId="0" applyFont="1" applyFill="1" applyBorder="1" applyAlignment="1">
      <alignment horizontal="right" vertical="center" wrapText="1"/>
    </xf>
    <xf numFmtId="0" fontId="31" fillId="8" borderId="19" xfId="0" applyFont="1" applyFill="1" applyBorder="1" applyAlignment="1">
      <alignment horizontal="right" vertical="center" wrapText="1"/>
    </xf>
    <xf numFmtId="0" fontId="24" fillId="13" borderId="17" xfId="0" applyFont="1" applyFill="1" applyBorder="1" applyAlignment="1">
      <alignment horizontal="left" vertical="center"/>
    </xf>
    <xf numFmtId="0" fontId="24" fillId="13" borderId="13" xfId="0" applyFont="1" applyFill="1" applyBorder="1" applyAlignment="1">
      <alignment horizontal="left" vertical="center"/>
    </xf>
    <xf numFmtId="0" fontId="24" fillId="15" borderId="17" xfId="0" applyFont="1" applyFill="1" applyBorder="1" applyAlignment="1">
      <alignment horizontal="left" vertical="center" wrapText="1"/>
    </xf>
    <xf numFmtId="0" fontId="24" fillId="15" borderId="13" xfId="0" applyFont="1" applyFill="1" applyBorder="1" applyAlignment="1">
      <alignment horizontal="left" vertical="center" wrapText="1"/>
    </xf>
    <xf numFmtId="0" fontId="31" fillId="8" borderId="15" xfId="0" applyFont="1" applyFill="1" applyBorder="1" applyAlignment="1">
      <alignment horizontal="center"/>
    </xf>
    <xf numFmtId="0" fontId="24" fillId="9" borderId="15" xfId="0" applyFont="1" applyFill="1" applyBorder="1" applyAlignment="1">
      <alignment horizontal="right"/>
    </xf>
    <xf numFmtId="0" fontId="24" fillId="14" borderId="15" xfId="0" applyFont="1" applyFill="1" applyBorder="1" applyAlignment="1">
      <alignment horizontal="center" vertical="center"/>
    </xf>
    <xf numFmtId="0" fontId="24" fillId="14" borderId="17" xfId="0" applyFont="1" applyFill="1" applyBorder="1" applyAlignment="1">
      <alignment horizontal="center" vertical="center"/>
    </xf>
    <xf numFmtId="0" fontId="24" fillId="14" borderId="17" xfId="0" applyFont="1" applyFill="1" applyBorder="1" applyAlignment="1">
      <alignment horizontal="right" vertical="center"/>
    </xf>
    <xf numFmtId="0" fontId="24" fillId="14" borderId="27" xfId="0" applyFont="1" applyFill="1" applyBorder="1" applyAlignment="1">
      <alignment horizontal="right" vertical="center"/>
    </xf>
    <xf numFmtId="0" fontId="24" fillId="14" borderId="13" xfId="0" applyFont="1" applyFill="1" applyBorder="1" applyAlignment="1">
      <alignment horizontal="right" vertical="center"/>
    </xf>
    <xf numFmtId="0" fontId="24" fillId="8" borderId="15" xfId="0" applyFont="1" applyFill="1" applyBorder="1" applyAlignment="1">
      <alignment horizontal="right"/>
    </xf>
    <xf numFmtId="0" fontId="24" fillId="8" borderId="15" xfId="0" applyFont="1" applyFill="1" applyBorder="1" applyAlignment="1">
      <alignment horizontal="right" vertical="center" wrapText="1"/>
    </xf>
    <xf numFmtId="166" fontId="61" fillId="14" borderId="17" xfId="1" applyFont="1" applyFill="1" applyBorder="1" applyAlignment="1" applyProtection="1">
      <alignment horizontal="right" vertical="center" wrapText="1"/>
    </xf>
    <xf numFmtId="0" fontId="24" fillId="9" borderId="15" xfId="0" applyFont="1" applyFill="1" applyBorder="1" applyAlignment="1">
      <alignment horizontal="right" vertical="center"/>
    </xf>
    <xf numFmtId="0" fontId="24" fillId="15" borderId="17" xfId="0" applyFont="1" applyFill="1" applyBorder="1" applyAlignment="1" applyProtection="1">
      <alignment horizontal="left" vertical="center" wrapText="1"/>
      <protection locked="0"/>
    </xf>
    <xf numFmtId="0" fontId="24" fillId="15" borderId="13" xfId="0" applyFont="1" applyFill="1" applyBorder="1" applyAlignment="1" applyProtection="1">
      <alignment horizontal="left" vertical="center" wrapText="1"/>
      <protection locked="0"/>
    </xf>
    <xf numFmtId="0" fontId="6" fillId="4" borderId="0" xfId="0" applyFont="1" applyFill="1" applyAlignment="1">
      <alignment horizontal="right" vertical="center"/>
    </xf>
    <xf numFmtId="0" fontId="24" fillId="18" borderId="15" xfId="0" applyFont="1" applyFill="1" applyBorder="1" applyAlignment="1">
      <alignment horizontal="right" vertical="center"/>
    </xf>
    <xf numFmtId="0" fontId="31" fillId="18" borderId="16" xfId="0" applyFont="1" applyFill="1" applyBorder="1" applyAlignment="1">
      <alignment horizontal="right"/>
    </xf>
    <xf numFmtId="0" fontId="31" fillId="18" borderId="20" xfId="0" applyFont="1" applyFill="1" applyBorder="1" applyAlignment="1">
      <alignment horizontal="right"/>
    </xf>
    <xf numFmtId="0" fontId="31" fillId="18" borderId="19" xfId="0" applyFont="1" applyFill="1" applyBorder="1" applyAlignment="1">
      <alignment horizontal="right"/>
    </xf>
    <xf numFmtId="0" fontId="24" fillId="18" borderId="17" xfId="0" applyFont="1" applyFill="1" applyBorder="1" applyAlignment="1">
      <alignment horizontal="center" vertical="center"/>
    </xf>
    <xf numFmtId="0" fontId="24" fillId="18" borderId="27" xfId="0" applyFont="1" applyFill="1" applyBorder="1" applyAlignment="1">
      <alignment horizontal="center" vertical="center"/>
    </xf>
    <xf numFmtId="0" fontId="24" fillId="18" borderId="13" xfId="0" applyFont="1" applyFill="1" applyBorder="1" applyAlignment="1">
      <alignment horizontal="center" vertical="center"/>
    </xf>
    <xf numFmtId="0" fontId="24" fillId="3" borderId="15" xfId="0" applyFont="1" applyFill="1" applyBorder="1" applyAlignment="1">
      <alignment horizontal="center" vertical="center"/>
    </xf>
    <xf numFmtId="0" fontId="24" fillId="3" borderId="17" xfId="0" applyFont="1" applyFill="1" applyBorder="1" applyAlignment="1">
      <alignment horizontal="center" vertical="center"/>
    </xf>
    <xf numFmtId="0" fontId="24" fillId="3" borderId="17" xfId="0" applyFont="1" applyFill="1" applyBorder="1" applyAlignment="1">
      <alignment horizontal="right" vertical="center"/>
    </xf>
    <xf numFmtId="0" fontId="24" fillId="3" borderId="27" xfId="0" applyFont="1" applyFill="1" applyBorder="1" applyAlignment="1">
      <alignment horizontal="right" vertical="center"/>
    </xf>
    <xf numFmtId="0" fontId="24" fillId="3" borderId="13" xfId="0" applyFont="1" applyFill="1" applyBorder="1" applyAlignment="1">
      <alignment horizontal="right" vertical="center"/>
    </xf>
    <xf numFmtId="166" fontId="61" fillId="3" borderId="17" xfId="1" applyFont="1" applyFill="1" applyBorder="1" applyAlignment="1" applyProtection="1">
      <alignment horizontal="right" vertical="center" wrapText="1"/>
    </xf>
    <xf numFmtId="0" fontId="24" fillId="4" borderId="18" xfId="0" applyFont="1" applyFill="1" applyBorder="1" applyAlignment="1">
      <alignment horizontal="right" vertical="center"/>
    </xf>
    <xf numFmtId="0" fontId="24" fillId="4" borderId="14" xfId="0" applyFont="1" applyFill="1" applyBorder="1" applyAlignment="1">
      <alignment horizontal="right" vertical="center"/>
    </xf>
    <xf numFmtId="15" fontId="24" fillId="4" borderId="22" xfId="0" applyNumberFormat="1" applyFont="1" applyFill="1" applyBorder="1" applyAlignment="1">
      <alignment horizontal="left" vertical="center"/>
    </xf>
    <xf numFmtId="0" fontId="24" fillId="4" borderId="24" xfId="0" applyFont="1" applyFill="1" applyBorder="1" applyAlignment="1">
      <alignment horizontal="left" vertical="center"/>
    </xf>
    <xf numFmtId="0" fontId="24" fillId="12" borderId="15" xfId="0" applyFont="1" applyFill="1" applyBorder="1" applyAlignment="1">
      <alignment horizontal="center" vertical="center" wrapText="1"/>
    </xf>
    <xf numFmtId="0" fontId="24" fillId="12" borderId="17" xfId="0" applyFont="1" applyFill="1" applyBorder="1" applyAlignment="1">
      <alignment horizontal="right" vertical="center"/>
    </xf>
    <xf numFmtId="0" fontId="24" fillId="12" borderId="27" xfId="0" applyFont="1" applyFill="1" applyBorder="1" applyAlignment="1">
      <alignment horizontal="right" vertical="center"/>
    </xf>
    <xf numFmtId="0" fontId="24" fillId="12" borderId="13" xfId="0" applyFont="1" applyFill="1" applyBorder="1" applyAlignment="1">
      <alignment horizontal="right" vertical="center"/>
    </xf>
    <xf numFmtId="166" fontId="61" fillId="12" borderId="15" xfId="1" applyFont="1" applyFill="1" applyBorder="1" applyAlignment="1" applyProtection="1">
      <alignment horizontal="right" vertical="center" wrapText="1"/>
    </xf>
    <xf numFmtId="0" fontId="24" fillId="2" borderId="13" xfId="0" applyFont="1" applyFill="1" applyBorder="1" applyAlignment="1">
      <alignment horizontal="center" vertical="center"/>
    </xf>
    <xf numFmtId="0" fontId="24" fillId="2" borderId="15" xfId="0" applyFont="1" applyFill="1" applyBorder="1" applyAlignment="1">
      <alignment horizontal="center" vertical="center"/>
    </xf>
    <xf numFmtId="0" fontId="24" fillId="2" borderId="27" xfId="0" applyFont="1" applyFill="1" applyBorder="1" applyAlignment="1">
      <alignment horizontal="right" vertical="center"/>
    </xf>
    <xf numFmtId="0" fontId="24" fillId="2" borderId="13" xfId="0" applyFont="1" applyFill="1" applyBorder="1" applyAlignment="1">
      <alignment horizontal="right" vertical="center"/>
    </xf>
    <xf numFmtId="0" fontId="24" fillId="2" borderId="17" xfId="0" applyFont="1" applyFill="1" applyBorder="1" applyAlignment="1">
      <alignment horizontal="right" vertical="center"/>
    </xf>
    <xf numFmtId="166" fontId="61" fillId="2" borderId="15" xfId="1" applyFont="1" applyFill="1" applyBorder="1" applyAlignment="1" applyProtection="1">
      <alignment horizontal="right" vertical="center" wrapText="1"/>
    </xf>
    <xf numFmtId="0" fontId="38" fillId="11" borderId="0" xfId="0" applyFont="1" applyFill="1" applyAlignment="1" applyProtection="1">
      <alignment horizontal="center" vertical="center" wrapText="1"/>
      <protection hidden="1"/>
    </xf>
    <xf numFmtId="167" fontId="24" fillId="24" borderId="0" xfId="0" applyNumberFormat="1" applyFont="1" applyFill="1" applyAlignment="1" applyProtection="1">
      <alignment horizontal="right" vertical="center"/>
      <protection hidden="1"/>
    </xf>
    <xf numFmtId="167" fontId="24" fillId="25" borderId="0" xfId="0" applyNumberFormat="1" applyFont="1" applyFill="1" applyAlignment="1" applyProtection="1">
      <alignment horizontal="right" vertical="center"/>
      <protection hidden="1"/>
    </xf>
    <xf numFmtId="0" fontId="35" fillId="4" borderId="0" xfId="0" applyFont="1" applyFill="1" applyAlignment="1" applyProtection="1">
      <alignment horizontal="left" vertical="center"/>
      <protection hidden="1"/>
    </xf>
    <xf numFmtId="0" fontId="17" fillId="4" borderId="21" xfId="0" applyFont="1" applyFill="1" applyBorder="1" applyAlignment="1" applyProtection="1">
      <alignment horizontal="center" vertical="center"/>
      <protection hidden="1"/>
    </xf>
    <xf numFmtId="0" fontId="17" fillId="4" borderId="0" xfId="0" applyFont="1" applyFill="1" applyAlignment="1" applyProtection="1">
      <alignment horizontal="center" vertical="center"/>
      <protection hidden="1"/>
    </xf>
    <xf numFmtId="0" fontId="17" fillId="4" borderId="21" xfId="0" applyFont="1" applyFill="1" applyBorder="1" applyAlignment="1" applyProtection="1">
      <alignment horizontal="center" vertical="center" wrapText="1"/>
      <protection hidden="1"/>
    </xf>
    <xf numFmtId="0" fontId="17" fillId="4" borderId="0" xfId="0" applyFont="1" applyFill="1" applyAlignment="1" applyProtection="1">
      <alignment horizontal="center" vertical="center" wrapText="1"/>
      <protection hidden="1"/>
    </xf>
    <xf numFmtId="167" fontId="24" fillId="22" borderId="0" xfId="0" applyNumberFormat="1" applyFont="1" applyFill="1" applyAlignment="1" applyProtection="1">
      <alignment horizontal="right" vertical="center"/>
      <protection hidden="1"/>
    </xf>
    <xf numFmtId="167" fontId="24" fillId="23" borderId="0" xfId="0" applyNumberFormat="1" applyFont="1" applyFill="1" applyAlignment="1" applyProtection="1">
      <alignment horizontal="right" vertical="center"/>
      <protection hidden="1"/>
    </xf>
    <xf numFmtId="167" fontId="24" fillId="21" borderId="0" xfId="0" applyNumberFormat="1" applyFont="1" applyFill="1" applyAlignment="1" applyProtection="1">
      <alignment horizontal="right" vertical="center"/>
      <protection hidden="1"/>
    </xf>
    <xf numFmtId="0" fontId="9" fillId="7" borderId="0" xfId="0" applyFont="1" applyFill="1" applyAlignment="1" applyProtection="1">
      <alignment horizontal="left" vertical="center"/>
      <protection locked="0"/>
    </xf>
    <xf numFmtId="0" fontId="0" fillId="7" borderId="0" xfId="0" applyFill="1" applyAlignment="1" applyProtection="1">
      <alignment horizontal="left" vertical="center"/>
      <protection locked="0"/>
    </xf>
    <xf numFmtId="0" fontId="12" fillId="4" borderId="25" xfId="0" applyFont="1" applyFill="1" applyBorder="1" applyAlignment="1" applyProtection="1">
      <alignment horizontal="right" vertical="center"/>
      <protection hidden="1"/>
    </xf>
    <xf numFmtId="0" fontId="12" fillId="4" borderId="0" xfId="0" applyFont="1" applyFill="1" applyAlignment="1" applyProtection="1">
      <alignment horizontal="right" vertical="center"/>
      <protection hidden="1"/>
    </xf>
    <xf numFmtId="0" fontId="9" fillId="4" borderId="0" xfId="0" applyFont="1" applyFill="1" applyAlignment="1" applyProtection="1">
      <alignment horizontal="left" vertical="center"/>
      <protection hidden="1"/>
    </xf>
    <xf numFmtId="0" fontId="22" fillId="4" borderId="0" xfId="0" applyFont="1" applyFill="1" applyAlignment="1" applyProtection="1">
      <alignment horizontal="center" vertical="center" wrapText="1"/>
      <protection hidden="1"/>
    </xf>
    <xf numFmtId="164" fontId="24" fillId="20" borderId="0" xfId="0" applyNumberFormat="1" applyFont="1" applyFill="1" applyAlignment="1" applyProtection="1">
      <alignment horizontal="right" vertical="center"/>
      <protection hidden="1"/>
    </xf>
    <xf numFmtId="14" fontId="11" fillId="7" borderId="0" xfId="0" applyNumberFormat="1" applyFont="1" applyFill="1" applyAlignment="1" applyProtection="1">
      <alignment horizontal="left" vertical="center"/>
      <protection locked="0"/>
    </xf>
    <xf numFmtId="0" fontId="11" fillId="7" borderId="0" xfId="0" applyFont="1" applyFill="1" applyAlignment="1" applyProtection="1">
      <alignment horizontal="left" vertical="center"/>
      <protection locked="0"/>
    </xf>
    <xf numFmtId="0" fontId="0" fillId="7" borderId="0" xfId="0" applyFill="1" applyAlignment="1" applyProtection="1">
      <alignment horizontal="left" vertical="center"/>
      <protection hidden="1"/>
    </xf>
    <xf numFmtId="0" fontId="11" fillId="4" borderId="0" xfId="0" applyFont="1" applyFill="1" applyAlignment="1" applyProtection="1">
      <alignment horizontal="left" vertical="center"/>
      <protection hidden="1"/>
    </xf>
    <xf numFmtId="0" fontId="0" fillId="4" borderId="0" xfId="0" applyFill="1" applyAlignment="1" applyProtection="1">
      <alignment horizontal="left" vertical="center"/>
      <protection hidden="1"/>
    </xf>
    <xf numFmtId="0" fontId="11" fillId="7" borderId="0" xfId="0" applyFont="1" applyFill="1" applyAlignment="1" applyProtection="1">
      <alignment horizontal="left" vertical="center"/>
      <protection hidden="1"/>
    </xf>
    <xf numFmtId="0" fontId="0" fillId="4" borderId="18" xfId="0" applyFill="1" applyBorder="1" applyAlignment="1" applyProtection="1">
      <alignment horizontal="center" vertical="center"/>
      <protection hidden="1"/>
    </xf>
    <xf numFmtId="0" fontId="0" fillId="4" borderId="21" xfId="0" applyFill="1" applyBorder="1" applyAlignment="1" applyProtection="1">
      <alignment horizontal="center" vertical="center"/>
      <protection hidden="1"/>
    </xf>
    <xf numFmtId="0" fontId="8" fillId="4" borderId="21" xfId="0" applyFont="1" applyFill="1" applyBorder="1" applyAlignment="1" applyProtection="1">
      <alignment horizontal="center" vertical="center" wrapText="1"/>
      <protection hidden="1"/>
    </xf>
    <xf numFmtId="0" fontId="8" fillId="4" borderId="22" xfId="0" applyFont="1" applyFill="1" applyBorder="1" applyAlignment="1" applyProtection="1">
      <alignment horizontal="center" vertical="center" wrapText="1"/>
      <protection hidden="1"/>
    </xf>
    <xf numFmtId="166" fontId="76" fillId="0" borderId="15" xfId="1" applyFont="1" applyBorder="1" applyAlignment="1">
      <alignment horizontal="center" vertical="center" wrapText="1"/>
    </xf>
    <xf numFmtId="166" fontId="76" fillId="36" borderId="15" xfId="1" applyFont="1" applyFill="1" applyBorder="1" applyAlignment="1">
      <alignment horizontal="center" vertical="center" wrapText="1"/>
    </xf>
    <xf numFmtId="166" fontId="76" fillId="3" borderId="15" xfId="1" applyFont="1" applyFill="1" applyBorder="1" applyAlignment="1">
      <alignment horizontal="center" vertical="center" wrapText="1"/>
    </xf>
    <xf numFmtId="166" fontId="76" fillId="2" borderId="15" xfId="1" applyFont="1" applyFill="1" applyBorder="1" applyAlignment="1">
      <alignment horizontal="center" vertical="center" wrapText="1"/>
    </xf>
    <xf numFmtId="166" fontId="76" fillId="33" borderId="15" xfId="1" applyFont="1" applyFill="1" applyBorder="1" applyAlignment="1">
      <alignment horizontal="center" vertical="center" wrapText="1"/>
    </xf>
    <xf numFmtId="166" fontId="76" fillId="34" borderId="15" xfId="1" applyFont="1" applyFill="1" applyBorder="1" applyAlignment="1">
      <alignment horizontal="center" vertical="center" wrapText="1"/>
    </xf>
    <xf numFmtId="166" fontId="76" fillId="4" borderId="15" xfId="1" applyFont="1" applyFill="1" applyBorder="1" applyAlignment="1">
      <alignment horizontal="center" vertical="center" wrapText="1"/>
    </xf>
    <xf numFmtId="166" fontId="76" fillId="35" borderId="15" xfId="1" applyFont="1" applyFill="1" applyBorder="1" applyAlignment="1">
      <alignment horizontal="center" vertical="center" wrapText="1"/>
    </xf>
    <xf numFmtId="0" fontId="80" fillId="49" borderId="31" xfId="0" applyFont="1" applyFill="1" applyBorder="1" applyAlignment="1">
      <alignment horizontal="center" wrapText="1"/>
    </xf>
    <xf numFmtId="0" fontId="80" fillId="2" borderId="31" xfId="0" applyFont="1" applyFill="1" applyBorder="1" applyAlignment="1">
      <alignment horizontal="center" vertical="center" wrapText="1"/>
    </xf>
    <xf numFmtId="0" fontId="80" fillId="49" borderId="28" xfId="0" applyFont="1" applyFill="1" applyBorder="1" applyAlignment="1">
      <alignment horizontal="center" wrapText="1"/>
    </xf>
    <xf numFmtId="0" fontId="30" fillId="20" borderId="0" xfId="0" applyFont="1" applyFill="1" applyAlignment="1" applyProtection="1">
      <alignment horizontal="left" vertical="center" wrapText="1"/>
      <protection hidden="1"/>
    </xf>
    <xf numFmtId="0" fontId="30" fillId="28" borderId="0" xfId="0" applyFont="1" applyFill="1" applyAlignment="1" applyProtection="1">
      <alignment horizontal="left" vertical="center" wrapText="1"/>
      <protection hidden="1"/>
    </xf>
    <xf numFmtId="0" fontId="30" fillId="24" borderId="0" xfId="0" applyFont="1" applyFill="1" applyAlignment="1" applyProtection="1">
      <alignment horizontal="left" vertical="center" wrapText="1"/>
      <protection hidden="1"/>
    </xf>
    <xf numFmtId="0" fontId="30" fillId="29" borderId="0" xfId="0" applyFont="1" applyFill="1" applyAlignment="1" applyProtection="1">
      <alignment horizontal="left" vertical="center" wrapText="1"/>
      <protection hidden="1"/>
    </xf>
    <xf numFmtId="0" fontId="30" fillId="22" borderId="0" xfId="0" applyFont="1" applyFill="1" applyAlignment="1" applyProtection="1">
      <alignment horizontal="left" vertical="center" wrapText="1"/>
      <protection hidden="1"/>
    </xf>
    <xf numFmtId="0" fontId="30" fillId="23" borderId="0" xfId="0" applyFont="1" applyFill="1" applyAlignment="1" applyProtection="1">
      <alignment horizontal="left" vertical="center" wrapText="1"/>
      <protection hidden="1"/>
    </xf>
    <xf numFmtId="167" fontId="24" fillId="29" borderId="0" xfId="0" applyNumberFormat="1" applyFont="1" applyFill="1" applyAlignment="1" applyProtection="1">
      <alignment horizontal="center" vertical="center"/>
      <protection hidden="1"/>
    </xf>
    <xf numFmtId="167" fontId="24" fillId="22" borderId="0" xfId="0" applyNumberFormat="1" applyFont="1" applyFill="1" applyAlignment="1" applyProtection="1">
      <alignment horizontal="center" vertical="center"/>
      <protection hidden="1"/>
    </xf>
    <xf numFmtId="167" fontId="24" fillId="23" borderId="0" xfId="0" applyNumberFormat="1" applyFont="1" applyFill="1" applyAlignment="1" applyProtection="1">
      <alignment horizontal="center" vertical="center"/>
      <protection hidden="1"/>
    </xf>
    <xf numFmtId="0" fontId="0" fillId="4" borderId="0" xfId="0" applyFill="1" applyAlignment="1" applyProtection="1">
      <alignment horizontal="center" vertical="center"/>
      <protection hidden="1"/>
    </xf>
    <xf numFmtId="0" fontId="71" fillId="4" borderId="0" xfId="0" applyFont="1" applyFill="1" applyAlignment="1" applyProtection="1">
      <alignment horizontal="center" vertical="center"/>
      <protection hidden="1"/>
    </xf>
    <xf numFmtId="164" fontId="24" fillId="20" borderId="0" xfId="0" applyNumberFormat="1" applyFont="1" applyFill="1" applyAlignment="1" applyProtection="1">
      <alignment horizontal="center" vertical="center"/>
      <protection hidden="1"/>
    </xf>
    <xf numFmtId="167" fontId="24" fillId="28" borderId="0" xfId="0" applyNumberFormat="1" applyFont="1" applyFill="1" applyAlignment="1" applyProtection="1">
      <alignment horizontal="center" vertical="center"/>
      <protection hidden="1"/>
    </xf>
    <xf numFmtId="167" fontId="24" fillId="24" borderId="0" xfId="0" applyNumberFormat="1" applyFont="1" applyFill="1" applyAlignment="1" applyProtection="1">
      <alignment horizontal="center" vertical="center"/>
      <protection hidden="1"/>
    </xf>
    <xf numFmtId="0" fontId="0" fillId="4" borderId="16" xfId="0" applyFill="1" applyBorder="1" applyAlignment="1" applyProtection="1">
      <alignment horizontal="center" vertical="center"/>
      <protection hidden="1"/>
    </xf>
    <xf numFmtId="0" fontId="0" fillId="4" borderId="20" xfId="0" applyFill="1" applyBorder="1" applyAlignment="1" applyProtection="1">
      <alignment horizontal="center" vertical="center"/>
      <protection hidden="1"/>
    </xf>
    <xf numFmtId="0" fontId="8" fillId="4" borderId="20"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24" fillId="4" borderId="0" xfId="0" applyFont="1" applyFill="1" applyAlignment="1" applyProtection="1">
      <alignment horizontal="left" vertical="center"/>
      <protection hidden="1"/>
    </xf>
    <xf numFmtId="15" fontId="47" fillId="7" borderId="16" xfId="0" applyNumberFormat="1" applyFont="1" applyFill="1" applyBorder="1" applyAlignment="1" applyProtection="1">
      <alignment horizontal="center" vertical="center"/>
      <protection hidden="1"/>
    </xf>
    <xf numFmtId="0" fontId="47" fillId="7" borderId="20" xfId="0" applyFont="1" applyFill="1" applyBorder="1" applyAlignment="1" applyProtection="1">
      <alignment horizontal="center" vertical="center"/>
      <protection hidden="1"/>
    </xf>
    <xf numFmtId="0" fontId="47" fillId="7" borderId="19" xfId="0" applyFont="1" applyFill="1" applyBorder="1" applyAlignment="1" applyProtection="1">
      <alignment horizontal="center" vertical="center"/>
      <protection hidden="1"/>
    </xf>
    <xf numFmtId="0" fontId="11" fillId="31" borderId="0" xfId="0" applyFont="1" applyFill="1" applyAlignment="1" applyProtection="1">
      <alignment horizontal="left" vertical="center"/>
      <protection hidden="1"/>
    </xf>
    <xf numFmtId="0" fontId="24" fillId="7" borderId="0" xfId="0" applyFont="1" applyFill="1" applyAlignment="1" applyProtection="1">
      <alignment horizontal="left" vertical="center"/>
      <protection locked="0"/>
    </xf>
    <xf numFmtId="0" fontId="56" fillId="7" borderId="0" xfId="3" applyFill="1" applyAlignment="1" applyProtection="1">
      <alignment horizontal="left" vertical="center"/>
      <protection locked="0"/>
    </xf>
    <xf numFmtId="14" fontId="57" fillId="7" borderId="0" xfId="0" applyNumberFormat="1" applyFont="1" applyFill="1" applyAlignment="1" applyProtection="1">
      <alignment horizontal="left" vertical="center"/>
      <protection locked="0"/>
    </xf>
    <xf numFmtId="0" fontId="57" fillId="7" borderId="0" xfId="0" applyFont="1" applyFill="1" applyAlignment="1" applyProtection="1">
      <alignment horizontal="left" vertical="center"/>
      <protection locked="0"/>
    </xf>
    <xf numFmtId="0" fontId="12" fillId="9" borderId="16" xfId="0" applyFont="1" applyFill="1" applyBorder="1" applyAlignment="1" applyProtection="1">
      <alignment horizontal="right" vertical="center" wrapText="1"/>
      <protection hidden="1"/>
    </xf>
    <xf numFmtId="0" fontId="12" fillId="9" borderId="20" xfId="0" applyFont="1" applyFill="1" applyBorder="1" applyAlignment="1" applyProtection="1">
      <alignment horizontal="right" vertical="center"/>
      <protection hidden="1"/>
    </xf>
    <xf numFmtId="0" fontId="5" fillId="4" borderId="21" xfId="0" applyFont="1" applyFill="1" applyBorder="1" applyAlignment="1" applyProtection="1">
      <alignment horizontal="center" vertical="center"/>
      <protection hidden="1"/>
    </xf>
    <xf numFmtId="0" fontId="5" fillId="4" borderId="0" xfId="0" applyFont="1" applyFill="1" applyAlignment="1" applyProtection="1">
      <alignment horizontal="center" vertical="center"/>
      <protection hidden="1"/>
    </xf>
    <xf numFmtId="0" fontId="38" fillId="5" borderId="0" xfId="0" applyFont="1" applyFill="1" applyAlignment="1" applyProtection="1">
      <alignment horizontal="center" vertical="center" wrapText="1"/>
      <protection hidden="1"/>
    </xf>
    <xf numFmtId="0" fontId="39" fillId="5" borderId="15" xfId="0" applyFont="1" applyFill="1" applyBorder="1" applyAlignment="1" applyProtection="1">
      <alignment horizontal="center" vertical="center"/>
      <protection hidden="1"/>
    </xf>
    <xf numFmtId="0" fontId="54" fillId="9" borderId="0" xfId="0" applyFont="1" applyFill="1" applyAlignment="1" applyProtection="1">
      <alignment horizontal="center" vertical="center"/>
      <protection hidden="1"/>
    </xf>
    <xf numFmtId="0" fontId="39" fillId="4" borderId="0" xfId="0" applyFont="1" applyFill="1" applyAlignment="1" applyProtection="1">
      <alignment horizontal="center" vertical="center"/>
      <protection hidden="1"/>
    </xf>
    <xf numFmtId="0" fontId="50" fillId="8" borderId="15" xfId="0" applyFont="1" applyFill="1" applyBorder="1" applyAlignment="1">
      <alignment horizontal="center" vertical="center"/>
    </xf>
    <xf numFmtId="0" fontId="0" fillId="17" borderId="8" xfId="0" applyFill="1" applyBorder="1" applyAlignment="1">
      <alignment horizontal="center"/>
    </xf>
    <xf numFmtId="0" fontId="0" fillId="17" borderId="0" xfId="0" applyFill="1" applyAlignment="1">
      <alignment horizontal="center"/>
    </xf>
    <xf numFmtId="0" fontId="0" fillId="17" borderId="9" xfId="0" applyFill="1" applyBorder="1" applyAlignment="1">
      <alignment horizontal="center"/>
    </xf>
    <xf numFmtId="0" fontId="0" fillId="17" borderId="10" xfId="0" applyFill="1" applyBorder="1" applyAlignment="1">
      <alignment horizontal="center"/>
    </xf>
    <xf numFmtId="0" fontId="0" fillId="17" borderId="11" xfId="0" applyFill="1" applyBorder="1" applyAlignment="1">
      <alignment horizontal="center"/>
    </xf>
    <xf numFmtId="0" fontId="0" fillId="17" borderId="12" xfId="0" applyFill="1" applyBorder="1" applyAlignment="1">
      <alignment horizontal="center"/>
    </xf>
    <xf numFmtId="0" fontId="2" fillId="16" borderId="5" xfId="0" applyFont="1" applyFill="1" applyBorder="1" applyAlignment="1">
      <alignment horizontal="center"/>
    </xf>
    <xf numFmtId="0" fontId="2" fillId="16" borderId="4" xfId="0" applyFont="1" applyFill="1" applyBorder="1" applyAlignment="1">
      <alignment horizontal="center"/>
    </xf>
    <xf numFmtId="0" fontId="0" fillId="17" borderId="1" xfId="0" applyFill="1" applyBorder="1" applyAlignment="1">
      <alignment horizontal="center"/>
    </xf>
    <xf numFmtId="0" fontId="0" fillId="17" borderId="2" xfId="0" applyFill="1" applyBorder="1" applyAlignment="1">
      <alignment horizontal="center"/>
    </xf>
    <xf numFmtId="0" fontId="0" fillId="17" borderId="3" xfId="0" applyFill="1" applyBorder="1" applyAlignment="1">
      <alignment horizontal="center"/>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colors>
    <mruColors>
      <color rgb="FF7CE5F6"/>
      <color rgb="FFFFD1D1"/>
      <color rgb="FF50C878"/>
      <color rgb="FFBCF1FA"/>
      <color rgb="FFADE5C0"/>
      <color rgb="FFFF9999"/>
      <color rgb="FFC2ECD0"/>
      <color rgb="FFC63204"/>
      <color rgb="FF042F37"/>
      <color rgb="FF005C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panose="020B0004020202020204" pitchFamily="34" charset="0"/>
                <a:ea typeface="+mn-ea"/>
                <a:cs typeface="+mn-cs"/>
              </a:defRPr>
            </a:pPr>
            <a:r>
              <a:rPr lang="en-IN">
                <a:latin typeface="Aptos" panose="020B0004020202020204" pitchFamily="34" charset="0"/>
              </a:rPr>
              <a:t>Your Wealth Journey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panose="020B0004020202020204" pitchFamily="34" charset="0"/>
              <a:ea typeface="+mn-ea"/>
              <a:cs typeface="+mn-cs"/>
            </a:defRPr>
          </a:pPr>
          <a:endParaRPr lang="en-US"/>
        </a:p>
      </c:txPr>
    </c:title>
    <c:autoTitleDeleted val="0"/>
    <c:plotArea>
      <c:layout/>
      <c:barChart>
        <c:barDir val="col"/>
        <c:grouping val="clustered"/>
        <c:varyColors val="0"/>
        <c:ser>
          <c:idx val="1"/>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'Portfolio Journey'!$F$5:$T$5</c:f>
            </c:numRef>
          </c:cat>
          <c:val>
            <c:numRef>
              <c:f>'Portfolio Journey'!$F$125:$T$125</c:f>
            </c:numRef>
          </c:val>
          <c:extLst>
            <c:ext xmlns:c16="http://schemas.microsoft.com/office/drawing/2014/chart" uri="{C3380CC4-5D6E-409C-BE32-E72D297353CC}">
              <c16:uniqueId val="{00000000-0E00-4E35-A0FC-6035E8CDD5D2}"/>
            </c:ext>
          </c:extLst>
        </c:ser>
        <c:dLbls>
          <c:showLegendKey val="0"/>
          <c:showVal val="0"/>
          <c:showCatName val="0"/>
          <c:showSerName val="0"/>
          <c:showPercent val="0"/>
          <c:showBubbleSize val="0"/>
        </c:dLbls>
        <c:gapWidth val="100"/>
        <c:overlap val="-24"/>
        <c:axId val="1997401008"/>
        <c:axId val="1997407536"/>
      </c:barChart>
      <c:catAx>
        <c:axId val="1997401008"/>
        <c:scaling>
          <c:orientation val="minMax"/>
        </c:scaling>
        <c:delete val="0"/>
        <c:axPos val="b"/>
        <c:numFmt formatCode="0"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ptos" panose="020B0004020202020204" pitchFamily="34" charset="0"/>
                <a:ea typeface="+mn-ea"/>
                <a:cs typeface="+mn-cs"/>
              </a:defRPr>
            </a:pPr>
            <a:endParaRPr lang="en-US"/>
          </a:p>
        </c:txPr>
        <c:crossAx val="1997407536"/>
        <c:crosses val="autoZero"/>
        <c:auto val="1"/>
        <c:lblAlgn val="ctr"/>
        <c:lblOffset val="100"/>
        <c:noMultiLvlLbl val="0"/>
      </c:catAx>
      <c:valAx>
        <c:axId val="199740753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ptos" panose="020B0004020202020204" pitchFamily="34" charset="0"/>
                <a:ea typeface="+mn-ea"/>
                <a:cs typeface="+mn-cs"/>
              </a:defRPr>
            </a:pPr>
            <a:endParaRPr lang="en-US"/>
          </a:p>
        </c:txPr>
        <c:crossAx val="19974010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panose="020B0004020202020204" pitchFamily="34" charset="0"/>
                <a:ea typeface="+mn-ea"/>
                <a:cs typeface="+mn-cs"/>
              </a:defRPr>
            </a:pPr>
            <a:r>
              <a:rPr lang="en-IN">
                <a:latin typeface="Aptos" panose="020B0004020202020204" pitchFamily="34" charset="0"/>
              </a:rPr>
              <a:t>Your SIP Journey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panose="020B0004020202020204" pitchFamily="34" charset="0"/>
              <a:ea typeface="+mn-ea"/>
              <a:cs typeface="+mn-cs"/>
            </a:defRPr>
          </a:pPr>
          <a:endParaRPr lang="en-US"/>
        </a:p>
      </c:txPr>
    </c:title>
    <c:autoTitleDeleted val="0"/>
    <c:plotArea>
      <c:layout/>
      <c:barChart>
        <c:barDir val="col"/>
        <c:grouping val="clustered"/>
        <c:varyColors val="0"/>
        <c:ser>
          <c:idx val="2"/>
          <c:order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'Portfolio Journey'!$F$5:$T$5</c:f>
            </c:numRef>
          </c:cat>
          <c:val>
            <c:numRef>
              <c:f>'Portfolio Journey'!$F$126:$T$126</c:f>
            </c:numRef>
          </c:val>
          <c:extLst>
            <c:ext xmlns:c16="http://schemas.microsoft.com/office/drawing/2014/chart" uri="{C3380CC4-5D6E-409C-BE32-E72D297353CC}">
              <c16:uniqueId val="{00000000-3DAE-4125-9B68-EF89EDC735DB}"/>
            </c:ext>
          </c:extLst>
        </c:ser>
        <c:dLbls>
          <c:showLegendKey val="0"/>
          <c:showVal val="0"/>
          <c:showCatName val="0"/>
          <c:showSerName val="0"/>
          <c:showPercent val="0"/>
          <c:showBubbleSize val="0"/>
        </c:dLbls>
        <c:gapWidth val="100"/>
        <c:overlap val="-24"/>
        <c:axId val="1997405904"/>
        <c:axId val="1997410800"/>
      </c:barChart>
      <c:catAx>
        <c:axId val="1997405904"/>
        <c:scaling>
          <c:orientation val="minMax"/>
        </c:scaling>
        <c:delete val="0"/>
        <c:axPos val="b"/>
        <c:numFmt formatCode="0"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ptos" panose="020B0004020202020204" pitchFamily="34" charset="0"/>
                <a:ea typeface="+mn-ea"/>
                <a:cs typeface="+mn-cs"/>
              </a:defRPr>
            </a:pPr>
            <a:endParaRPr lang="en-US"/>
          </a:p>
        </c:txPr>
        <c:crossAx val="1997410800"/>
        <c:crosses val="autoZero"/>
        <c:auto val="1"/>
        <c:lblAlgn val="ctr"/>
        <c:lblOffset val="100"/>
        <c:noMultiLvlLbl val="0"/>
      </c:catAx>
      <c:valAx>
        <c:axId val="199741080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ptos" panose="020B0004020202020204" pitchFamily="34" charset="0"/>
                <a:ea typeface="+mn-ea"/>
                <a:cs typeface="+mn-cs"/>
              </a:defRPr>
            </a:pPr>
            <a:endParaRPr lang="en-US"/>
          </a:p>
        </c:txPr>
        <c:crossAx val="19974059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rgbClr val="C00000"/>
                </a:solidFill>
                <a:latin typeface="Aptos" panose="020B0004020202020204" pitchFamily="34" charset="0"/>
                <a:ea typeface="+mn-ea"/>
                <a:cs typeface="+mn-cs"/>
              </a:defRPr>
            </a:pPr>
            <a:r>
              <a:rPr kumimoji="0" lang="en-IN" sz="1500" b="1" i="0" u="none" strike="noStrike" kern="1200" cap="none" spc="0" normalizeH="0" baseline="0" noProof="0">
                <a:ln>
                  <a:noFill/>
                </a:ln>
                <a:solidFill>
                  <a:srgbClr val="C00000"/>
                </a:solidFill>
                <a:effectLst/>
                <a:uLnTx/>
                <a:uFillTx/>
                <a:latin typeface="Aptos" panose="020B0004020202020204" pitchFamily="34" charset="0"/>
              </a:rPr>
              <a:t>Your Current Level of Preparedness</a:t>
            </a:r>
          </a:p>
        </c:rich>
      </c:tx>
      <c:overlay val="0"/>
      <c:spPr>
        <a:noFill/>
        <a:ln>
          <a:noFill/>
        </a:ln>
        <a:effectLst/>
      </c:spPr>
      <c:txPr>
        <a:bodyPr rot="0" spcFirstLastPara="1" vertOverflow="ellipsis" vert="horz" wrap="square" anchor="ctr" anchorCtr="1"/>
        <a:lstStyle/>
        <a:p>
          <a:pPr>
            <a:defRPr sz="1500" b="0" i="0" u="none" strike="noStrike" kern="1200" spc="0" baseline="0">
              <a:solidFill>
                <a:srgbClr val="C00000"/>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spPr>
            <a:noFill/>
            <a:ln w="12700">
              <a:solidFill>
                <a:srgbClr val="00B050"/>
              </a:solidFill>
            </a:ln>
            <a:effectLst/>
          </c:spPr>
          <c:invertIfNegative val="0"/>
          <c:dLbls>
            <c:dLbl>
              <c:idx val="0"/>
              <c:layout>
                <c:manualLayout>
                  <c:x val="3.618347700991140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F5-4693-AD32-1C6B3ED0E5D3}"/>
                </c:ext>
              </c:extLst>
            </c:dLbl>
            <c:dLbl>
              <c:idx val="2"/>
              <c:layout>
                <c:manualLayout>
                  <c:x val="9.6489272026430237E-3"/>
                  <c:y val="4.24836120302884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F5-4693-AD32-1C6B3ED0E5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 File'!$C$86:$C$96</c:f>
            </c:strRef>
          </c:cat>
          <c:val>
            <c:numRef>
              <c:f>'Ref File'!$G$86:$G$96</c:f>
            </c:numRef>
          </c:val>
          <c:extLst>
            <c:ext xmlns:c16="http://schemas.microsoft.com/office/drawing/2014/chart" uri="{C3380CC4-5D6E-409C-BE32-E72D297353CC}">
              <c16:uniqueId val="{00000000-BFFA-4E97-AA3C-CBA0F32457C1}"/>
            </c:ext>
          </c:extLst>
        </c:ser>
        <c:ser>
          <c:idx val="1"/>
          <c:order val="1"/>
          <c:spPr>
            <a:solidFill>
              <a:srgbClr val="00B050"/>
            </a:solidFill>
            <a:ln>
              <a:noFill/>
            </a:ln>
            <a:effectLst/>
          </c:spPr>
          <c:invertIfNegative val="0"/>
          <c:cat>
            <c:strRef>
              <c:f>'Ref File'!$C$86:$C$96</c:f>
            </c:strRef>
          </c:cat>
          <c:val>
            <c:numRef>
              <c:f>'Ref File'!$I$86:$I$96</c:f>
            </c:numRef>
          </c:val>
          <c:extLst>
            <c:ext xmlns:c16="http://schemas.microsoft.com/office/drawing/2014/chart" uri="{C3380CC4-5D6E-409C-BE32-E72D297353CC}">
              <c16:uniqueId val="{00000001-BFFA-4E97-AA3C-CBA0F32457C1}"/>
            </c:ext>
          </c:extLst>
        </c:ser>
        <c:dLbls>
          <c:showLegendKey val="0"/>
          <c:showVal val="0"/>
          <c:showCatName val="0"/>
          <c:showSerName val="0"/>
          <c:showPercent val="0"/>
          <c:showBubbleSize val="0"/>
        </c:dLbls>
        <c:gapWidth val="74"/>
        <c:overlap val="100"/>
        <c:axId val="945111103"/>
        <c:axId val="945113503"/>
      </c:barChart>
      <c:catAx>
        <c:axId val="94511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45113503"/>
        <c:crosses val="autoZero"/>
        <c:auto val="1"/>
        <c:lblAlgn val="ctr"/>
        <c:lblOffset val="100"/>
        <c:noMultiLvlLbl val="0"/>
      </c:catAx>
      <c:valAx>
        <c:axId val="945113503"/>
        <c:scaling>
          <c:orientation val="minMax"/>
          <c:max val="300000000"/>
          <c:min val="0"/>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45111103"/>
        <c:crosses val="autoZero"/>
        <c:crossBetween val="between"/>
        <c:minorUnit val="20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C00000"/>
                </a:solidFill>
                <a:latin typeface="Aptos" panose="020B0004020202020204" pitchFamily="34" charset="0"/>
                <a:ea typeface="+mn-ea"/>
                <a:cs typeface="+mn-cs"/>
              </a:defRPr>
            </a:pPr>
            <a:r>
              <a:rPr lang="en-IN" sz="1500" b="1">
                <a:solidFill>
                  <a:srgbClr val="C00000"/>
                </a:solidFill>
                <a:latin typeface="Aptos" panose="020B0004020202020204" pitchFamily="34" charset="0"/>
              </a:rPr>
              <a:t>Freedom Wealth - Progress</a:t>
            </a:r>
          </a:p>
        </c:rich>
      </c:tx>
      <c:overlay val="0"/>
      <c:spPr>
        <a:noFill/>
        <a:ln>
          <a:noFill/>
        </a:ln>
        <a:effectLst/>
      </c:spPr>
      <c:txPr>
        <a:bodyPr rot="0" spcFirstLastPara="1" vertOverflow="ellipsis" vert="horz" wrap="square" anchor="ctr" anchorCtr="1"/>
        <a:lstStyle/>
        <a:p>
          <a:pPr>
            <a:defRPr sz="1500" b="1" i="0" u="none" strike="noStrike" kern="1200" spc="0" baseline="0">
              <a:solidFill>
                <a:srgbClr val="C00000"/>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bg1"/>
            </a:solidFill>
            <a:ln w="12700">
              <a:solidFill>
                <a:srgbClr val="00B050"/>
              </a:solidFill>
            </a:ln>
            <a:effectLst/>
          </c:spPr>
          <c:invertIfNegative val="0"/>
          <c:cat>
            <c:strRef>
              <c:f>'Ref File'!$C$86:$C$96</c:f>
            </c:strRef>
          </c:cat>
          <c:val>
            <c:numRef>
              <c:f>'Ref File'!$BD$86:$BD$96</c:f>
            </c:numRef>
          </c:val>
          <c:extLst>
            <c:ext xmlns:c16="http://schemas.microsoft.com/office/drawing/2014/chart" uri="{C3380CC4-5D6E-409C-BE32-E72D297353CC}">
              <c16:uniqueId val="{00000000-F5D0-4AD0-8FB2-F5E330F52EAE}"/>
            </c:ext>
          </c:extLst>
        </c:ser>
        <c:ser>
          <c:idx val="1"/>
          <c:order val="1"/>
          <c:spPr>
            <a:solidFill>
              <a:srgbClr val="00B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 File'!$C$86:$C$96</c:f>
            </c:strRef>
          </c:cat>
          <c:val>
            <c:numRef>
              <c:f>'Ref File'!$BE$86:$BE$96</c:f>
            </c:numRef>
          </c:val>
          <c:extLst>
            <c:ext xmlns:c16="http://schemas.microsoft.com/office/drawing/2014/chart" uri="{C3380CC4-5D6E-409C-BE32-E72D297353CC}">
              <c16:uniqueId val="{00000001-F5D0-4AD0-8FB2-F5E330F52EAE}"/>
            </c:ext>
          </c:extLst>
        </c:ser>
        <c:dLbls>
          <c:showLegendKey val="0"/>
          <c:showVal val="0"/>
          <c:showCatName val="0"/>
          <c:showSerName val="0"/>
          <c:showPercent val="0"/>
          <c:showBubbleSize val="0"/>
        </c:dLbls>
        <c:gapWidth val="57"/>
        <c:overlap val="100"/>
        <c:axId val="515236864"/>
        <c:axId val="515237344"/>
      </c:barChart>
      <c:catAx>
        <c:axId val="51523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5237344"/>
        <c:crosses val="autoZero"/>
        <c:auto val="1"/>
        <c:lblAlgn val="ctr"/>
        <c:lblOffset val="100"/>
        <c:noMultiLvlLbl val="0"/>
      </c:catAx>
      <c:valAx>
        <c:axId val="515237344"/>
        <c:scaling>
          <c:orientation val="minMax"/>
          <c:max val="1.1000000000000001"/>
          <c:min val="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523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rgbClr val="C00000"/>
                </a:solidFill>
                <a:latin typeface="Aptos" panose="020B0004020202020204" pitchFamily="34" charset="0"/>
                <a:ea typeface="+mn-ea"/>
                <a:cs typeface="+mn-cs"/>
              </a:defRPr>
            </a:pPr>
            <a:r>
              <a:rPr kumimoji="0" lang="en-IN" sz="1500" b="1" i="0" u="none" strike="noStrike" kern="1200" cap="none" spc="0" normalizeH="0" baseline="0" noProof="0">
                <a:ln>
                  <a:noFill/>
                </a:ln>
                <a:solidFill>
                  <a:srgbClr val="C00000"/>
                </a:solidFill>
                <a:effectLst/>
                <a:uLnTx/>
                <a:uFillTx/>
                <a:latin typeface="Aptos" panose="020B0004020202020204" pitchFamily="34" charset="0"/>
              </a:rPr>
              <a:t>Your Current Level of Preparedness</a:t>
            </a:r>
          </a:p>
        </c:rich>
      </c:tx>
      <c:overlay val="0"/>
      <c:spPr>
        <a:noFill/>
        <a:ln>
          <a:noFill/>
        </a:ln>
        <a:effectLst/>
      </c:spPr>
      <c:txPr>
        <a:bodyPr rot="0" spcFirstLastPara="1" vertOverflow="ellipsis" vert="horz" wrap="square" anchor="ctr" anchorCtr="1"/>
        <a:lstStyle/>
        <a:p>
          <a:pPr>
            <a:defRPr sz="1500" b="0" i="0" u="none" strike="noStrike" kern="1200" spc="0" baseline="0">
              <a:solidFill>
                <a:srgbClr val="C00000"/>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bg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'Freedom Blueprint'!$C$87:$C$97</c:f>
            </c:strRef>
          </c:cat>
          <c:val>
            <c:numRef>
              <c:f>'Freedom Blueprint'!$G$87:$G$97</c:f>
            </c:numRef>
          </c:val>
          <c:extLst>
            <c:ext xmlns:c16="http://schemas.microsoft.com/office/drawing/2014/chart" uri="{C3380CC4-5D6E-409C-BE32-E72D297353CC}">
              <c16:uniqueId val="{00000002-4C34-4893-9A3C-9F641537DEED}"/>
            </c:ext>
          </c:extLst>
        </c:ser>
        <c:ser>
          <c:idx val="1"/>
          <c:order val="1"/>
          <c:spPr>
            <a:solidFill>
              <a:srgbClr val="00B050"/>
            </a:solidFill>
            <a:ln>
              <a:noFill/>
            </a:ln>
            <a:effectLst/>
          </c:spPr>
          <c:invertIfNegative val="0"/>
          <c:cat>
            <c:strRef>
              <c:f>'Freedom Blueprint'!$C$87:$C$97</c:f>
            </c:strRef>
          </c:cat>
          <c:val>
            <c:numRef>
              <c:f>'Freedom Blueprint'!$I$87:$I$97</c:f>
            </c:numRef>
          </c:val>
          <c:extLst>
            <c:ext xmlns:c16="http://schemas.microsoft.com/office/drawing/2014/chart" uri="{C3380CC4-5D6E-409C-BE32-E72D297353CC}">
              <c16:uniqueId val="{00000003-4C34-4893-9A3C-9F641537DEED}"/>
            </c:ext>
          </c:extLst>
        </c:ser>
        <c:dLbls>
          <c:showLegendKey val="0"/>
          <c:showVal val="0"/>
          <c:showCatName val="0"/>
          <c:showSerName val="0"/>
          <c:showPercent val="0"/>
          <c:showBubbleSize val="0"/>
        </c:dLbls>
        <c:gapWidth val="74"/>
        <c:overlap val="100"/>
        <c:axId val="945111103"/>
        <c:axId val="945113503"/>
      </c:barChart>
      <c:catAx>
        <c:axId val="94511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45113503"/>
        <c:crosses val="autoZero"/>
        <c:auto val="1"/>
        <c:lblAlgn val="ctr"/>
        <c:lblOffset val="100"/>
        <c:noMultiLvlLbl val="0"/>
      </c:catAx>
      <c:valAx>
        <c:axId val="945113503"/>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4511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C00000"/>
                </a:solidFill>
                <a:latin typeface="Aptos" panose="020B0004020202020204" pitchFamily="34" charset="0"/>
                <a:ea typeface="+mn-ea"/>
                <a:cs typeface="+mn-cs"/>
              </a:defRPr>
            </a:pPr>
            <a:r>
              <a:rPr lang="en-IN" sz="1500" b="1">
                <a:solidFill>
                  <a:srgbClr val="C00000"/>
                </a:solidFill>
                <a:latin typeface="Aptos" panose="020B0004020202020204" pitchFamily="34" charset="0"/>
              </a:rPr>
              <a:t>Freedom Wealth - Progress</a:t>
            </a:r>
          </a:p>
        </c:rich>
      </c:tx>
      <c:overlay val="0"/>
      <c:spPr>
        <a:noFill/>
        <a:ln>
          <a:noFill/>
        </a:ln>
        <a:effectLst/>
      </c:spPr>
      <c:txPr>
        <a:bodyPr rot="0" spcFirstLastPara="1" vertOverflow="ellipsis" vert="horz" wrap="square" anchor="ctr" anchorCtr="1"/>
        <a:lstStyle/>
        <a:p>
          <a:pPr>
            <a:defRPr sz="1500" b="1" i="0" u="none" strike="noStrike" kern="1200" spc="0" baseline="0">
              <a:solidFill>
                <a:srgbClr val="C00000"/>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bg1"/>
            </a:solidFill>
            <a:ln>
              <a:solidFill>
                <a:schemeClr val="tx1"/>
              </a:solidFill>
            </a:ln>
            <a:effectLst/>
          </c:spPr>
          <c:invertIfNegative val="0"/>
          <c:cat>
            <c:strRef>
              <c:f>'Freedom Blueprint'!$C$87:$C$97</c:f>
            </c:strRef>
          </c:cat>
          <c:val>
            <c:numRef>
              <c:f>'Freedom Blueprint'!$BF$87:$BF$97</c:f>
            </c:numRef>
          </c:val>
          <c:extLst>
            <c:ext xmlns:c16="http://schemas.microsoft.com/office/drawing/2014/chart" uri="{C3380CC4-5D6E-409C-BE32-E72D297353CC}">
              <c16:uniqueId val="{00000000-3109-4D01-9040-87EB36062A26}"/>
            </c:ext>
          </c:extLst>
        </c:ser>
        <c:ser>
          <c:idx val="1"/>
          <c:order val="1"/>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'Freedom Blueprint'!$C$87:$C$97</c:f>
            </c:strRef>
          </c:cat>
          <c:val>
            <c:numRef>
              <c:f>'Freedom Blueprint'!$BG$87:$BG$97</c:f>
            </c:numRef>
          </c:val>
          <c:extLst>
            <c:ext xmlns:c16="http://schemas.microsoft.com/office/drawing/2014/chart" uri="{C3380CC4-5D6E-409C-BE32-E72D297353CC}">
              <c16:uniqueId val="{00000001-3109-4D01-9040-87EB36062A26}"/>
            </c:ext>
          </c:extLst>
        </c:ser>
        <c:dLbls>
          <c:showLegendKey val="0"/>
          <c:showVal val="0"/>
          <c:showCatName val="0"/>
          <c:showSerName val="0"/>
          <c:showPercent val="0"/>
          <c:showBubbleSize val="0"/>
        </c:dLbls>
        <c:gapWidth val="57"/>
        <c:overlap val="100"/>
        <c:axId val="515236864"/>
        <c:axId val="515237344"/>
      </c:barChart>
      <c:catAx>
        <c:axId val="51523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5237344"/>
        <c:crosses val="autoZero"/>
        <c:auto val="1"/>
        <c:lblAlgn val="ctr"/>
        <c:lblOffset val="100"/>
        <c:noMultiLvlLbl val="0"/>
      </c:catAx>
      <c:valAx>
        <c:axId val="515237344"/>
        <c:scaling>
          <c:orientation val="minMax"/>
          <c:max val="1.1000000000000001"/>
          <c:min val="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523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5.xml"/><Relationship Id="rId4"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288385</xdr:colOff>
      <xdr:row>1</xdr:row>
      <xdr:rowOff>28978</xdr:rowOff>
    </xdr:from>
    <xdr:to>
      <xdr:col>12</xdr:col>
      <xdr:colOff>365756</xdr:colOff>
      <xdr:row>6</xdr:row>
      <xdr:rowOff>63305</xdr:rowOff>
    </xdr:to>
    <xdr:pic>
      <xdr:nvPicPr>
        <xdr:cNvPr id="2" name="Picture 1">
          <a:extLst>
            <a:ext uri="{FF2B5EF4-FFF2-40B4-BE49-F238E27FC236}">
              <a16:creationId xmlns:a16="http://schemas.microsoft.com/office/drawing/2014/main" id="{5CA049D7-3ACE-42E0-A827-E7191200EC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6483" y="211858"/>
          <a:ext cx="2581421" cy="948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4</xdr:row>
      <xdr:rowOff>3225</xdr:rowOff>
    </xdr:from>
    <xdr:to>
      <xdr:col>6</xdr:col>
      <xdr:colOff>801858</xdr:colOff>
      <xdr:row>15</xdr:row>
      <xdr:rowOff>175847</xdr:rowOff>
    </xdr:to>
    <xdr:graphicFrame macro="">
      <xdr:nvGraphicFramePr>
        <xdr:cNvPr id="2" name="Chart 1">
          <a:extLst>
            <a:ext uri="{FF2B5EF4-FFF2-40B4-BE49-F238E27FC236}">
              <a16:creationId xmlns:a16="http://schemas.microsoft.com/office/drawing/2014/main" id="{B6CDF568-B835-4D4F-82C0-5E7D841E1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42203</xdr:colOff>
      <xdr:row>17</xdr:row>
      <xdr:rowOff>21102</xdr:rowOff>
    </xdr:from>
    <xdr:to>
      <xdr:col>6</xdr:col>
      <xdr:colOff>787790</xdr:colOff>
      <xdr:row>29</xdr:row>
      <xdr:rowOff>0</xdr:rowOff>
    </xdr:to>
    <xdr:graphicFrame macro="">
      <xdr:nvGraphicFramePr>
        <xdr:cNvPr id="3" name="Chart 2">
          <a:extLst>
            <a:ext uri="{FF2B5EF4-FFF2-40B4-BE49-F238E27FC236}">
              <a16:creationId xmlns:a16="http://schemas.microsoft.com/office/drawing/2014/main" id="{08E239B7-A394-4DC2-94AE-204DD9C0A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66821</xdr:colOff>
      <xdr:row>98</xdr:row>
      <xdr:rowOff>84401</xdr:rowOff>
    </xdr:from>
    <xdr:to>
      <xdr:col>8</xdr:col>
      <xdr:colOff>211014</xdr:colOff>
      <xdr:row>117</xdr:row>
      <xdr:rowOff>14066</xdr:rowOff>
    </xdr:to>
    <xdr:graphicFrame macro="">
      <xdr:nvGraphicFramePr>
        <xdr:cNvPr id="3" name="Chart 2">
          <a:extLst>
            <a:ext uri="{FF2B5EF4-FFF2-40B4-BE49-F238E27FC236}">
              <a16:creationId xmlns:a16="http://schemas.microsoft.com/office/drawing/2014/main" id="{BC09A229-E6A3-4C94-8DC1-5FA31E31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246184</xdr:colOff>
      <xdr:row>1</xdr:row>
      <xdr:rowOff>175849</xdr:rowOff>
    </xdr:from>
    <xdr:to>
      <xdr:col>12</xdr:col>
      <xdr:colOff>225083</xdr:colOff>
      <xdr:row>1</xdr:row>
      <xdr:rowOff>703388</xdr:rowOff>
    </xdr:to>
    <xdr:sp macro="" textlink="">
      <xdr:nvSpPr>
        <xdr:cNvPr id="5" name="TextBox 4">
          <a:extLst>
            <a:ext uri="{FF2B5EF4-FFF2-40B4-BE49-F238E27FC236}">
              <a16:creationId xmlns:a16="http://schemas.microsoft.com/office/drawing/2014/main" id="{72EFE65C-BECF-4A74-A639-2687A38B60C5}"/>
            </a:ext>
          </a:extLst>
        </xdr:cNvPr>
        <xdr:cNvSpPr txBox="1"/>
      </xdr:nvSpPr>
      <xdr:spPr>
        <a:xfrm>
          <a:off x="4107766" y="358729"/>
          <a:ext cx="5380892" cy="52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kern="1200">
              <a:solidFill>
                <a:srgbClr val="042F37"/>
              </a:solidFill>
              <a:latin typeface="Arial Black" panose="020B0A04020102020204" pitchFamily="34" charset="0"/>
            </a:rPr>
            <a:t>M2M Freedom Blueprint</a:t>
          </a:r>
        </a:p>
      </xdr:txBody>
    </xdr:sp>
    <xdr:clientData/>
  </xdr:twoCellAnchor>
  <xdr:twoCellAnchor>
    <xdr:from>
      <xdr:col>1</xdr:col>
      <xdr:colOff>1</xdr:colOff>
      <xdr:row>138</xdr:row>
      <xdr:rowOff>35169</xdr:rowOff>
    </xdr:from>
    <xdr:to>
      <xdr:col>7</xdr:col>
      <xdr:colOff>232117</xdr:colOff>
      <xdr:row>153</xdr:row>
      <xdr:rowOff>171969</xdr:rowOff>
    </xdr:to>
    <xdr:sp macro="" textlink="">
      <xdr:nvSpPr>
        <xdr:cNvPr id="11" name="TextBox 10">
          <a:extLst>
            <a:ext uri="{FF2B5EF4-FFF2-40B4-BE49-F238E27FC236}">
              <a16:creationId xmlns:a16="http://schemas.microsoft.com/office/drawing/2014/main" id="{93A5514A-BED4-4D34-9E3F-9C736162473F}"/>
            </a:ext>
          </a:extLst>
        </xdr:cNvPr>
        <xdr:cNvSpPr txBox="1"/>
      </xdr:nvSpPr>
      <xdr:spPr>
        <a:xfrm>
          <a:off x="618979" y="25497692"/>
          <a:ext cx="5134707" cy="28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t>Notes :</a:t>
          </a:r>
        </a:p>
        <a:p>
          <a:r>
            <a:rPr lang="en-IN" sz="1100" kern="1200"/>
            <a:t>* Rate of Return Assumption to achieve Freedom</a:t>
          </a:r>
          <a:r>
            <a:rPr lang="en-IN" sz="1100" kern="1200" baseline="0"/>
            <a:t> Wealth Corpus</a:t>
          </a:r>
        </a:p>
        <a:p>
          <a:endParaRPr lang="en-IN" sz="1100" kern="1200" baseline="0"/>
        </a:p>
        <a:p>
          <a:endParaRPr lang="en-IN" sz="1100" kern="1200" baseline="0"/>
        </a:p>
        <a:p>
          <a:endParaRPr lang="en-IN" sz="1100" kern="1200" baseline="0"/>
        </a:p>
        <a:p>
          <a:endParaRPr lang="en-IN" sz="1100" kern="1200" baseline="0"/>
        </a:p>
        <a:p>
          <a:endParaRPr lang="en-IN" sz="1100" kern="1200" baseline="0"/>
        </a:p>
        <a:p>
          <a:endParaRPr lang="en-IN" sz="1100" kern="1200" baseline="0"/>
        </a:p>
        <a:p>
          <a:endParaRPr lang="en-IN" sz="1100" kern="1200" baseline="0"/>
        </a:p>
        <a:p>
          <a:endParaRPr lang="en-IN" sz="1100" kern="1200" baseline="0"/>
        </a:p>
        <a:p>
          <a:pPr marL="0" marR="0" lvl="0" indent="0" defTabSz="914400" rtl="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 </a:t>
          </a:r>
          <a:r>
            <a:rPr lang="en-US" sz="1100" b="0">
              <a:solidFill>
                <a:schemeClr val="dk1"/>
              </a:solidFill>
              <a:effectLst/>
              <a:latin typeface="+mn-lt"/>
              <a:ea typeface="+mn-ea"/>
              <a:cs typeface="+mn-cs"/>
            </a:rPr>
            <a:t>Above return assumption is for illustration purpose only. Actual Return may vary depending on Market / Interest Rate / Government Policy etc.</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 Monthly investment option assumes begining of period payments</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a:t>
          </a:r>
          <a:r>
            <a:rPr lang="en-US" sz="1100" b="0" baseline="0">
              <a:solidFill>
                <a:schemeClr val="dk1"/>
              </a:solidFill>
              <a:effectLst/>
              <a:latin typeface="+mn-lt"/>
              <a:ea typeface="+mn-ea"/>
              <a:cs typeface="+mn-cs"/>
            </a:rPr>
            <a:t> GAP Freedom Wealth represents the additional amount required to achieve each Freedom Level</a:t>
          </a:r>
          <a:endParaRPr lang="en-IN">
            <a:effectLst/>
          </a:endParaRPr>
        </a:p>
        <a:p>
          <a:endParaRPr lang="en-IN" sz="1100" kern="1200"/>
        </a:p>
      </xdr:txBody>
    </xdr:sp>
    <xdr:clientData/>
  </xdr:twoCellAnchor>
  <xdr:twoCellAnchor>
    <xdr:from>
      <xdr:col>8</xdr:col>
      <xdr:colOff>35169</xdr:colOff>
      <xdr:row>138</xdr:row>
      <xdr:rowOff>49236</xdr:rowOff>
    </xdr:from>
    <xdr:to>
      <xdr:col>13</xdr:col>
      <xdr:colOff>323557</xdr:colOff>
      <xdr:row>154</xdr:row>
      <xdr:rowOff>3156</xdr:rowOff>
    </xdr:to>
    <xdr:sp macro="" textlink="">
      <xdr:nvSpPr>
        <xdr:cNvPr id="12" name="TextBox 11">
          <a:extLst>
            <a:ext uri="{FF2B5EF4-FFF2-40B4-BE49-F238E27FC236}">
              <a16:creationId xmlns:a16="http://schemas.microsoft.com/office/drawing/2014/main" id="{76A06FBB-D803-4085-A230-E5E43E2A30CA}"/>
            </a:ext>
          </a:extLst>
        </xdr:cNvPr>
        <xdr:cNvSpPr txBox="1"/>
      </xdr:nvSpPr>
      <xdr:spPr>
        <a:xfrm>
          <a:off x="5887329" y="25511759"/>
          <a:ext cx="5155810" cy="28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t>Disclaimers :</a:t>
          </a:r>
        </a:p>
        <a:p>
          <a:r>
            <a:rPr lang="en-IN" sz="1100" kern="1200"/>
            <a:t>* Above content and information </a:t>
          </a:r>
          <a:r>
            <a:rPr lang="en-IN" sz="1100" kern="1200" baseline="0"/>
            <a:t>is for education and illustrative purpose only. This should not be considered as financial advice / recommendations. Before making any investment decision, consult your Relationship Manager</a:t>
          </a:r>
        </a:p>
        <a:p>
          <a:r>
            <a:rPr lang="en-IN" sz="1100" kern="1200" baseline="0"/>
            <a:t>* While Finowise Freedom LLP takes resonable steps to ensure the accuracy of all the information provided above, it does not gurantee the completeness, efficacy, accuracy or timeliness of such information.</a:t>
          </a:r>
        </a:p>
        <a:p>
          <a:r>
            <a:rPr lang="en-IN" sz="1100" kern="1200" baseline="0"/>
            <a:t>* Past performance is not guarantee for future result. Any investments in financial markets are subjected to market risks. Please read relevant offer documents of respective schemes carefully before making any investment decision.</a:t>
          </a:r>
        </a:p>
        <a:p>
          <a:endParaRPr lang="en-IN" sz="1100" kern="1200"/>
        </a:p>
      </xdr:txBody>
    </xdr:sp>
    <xdr:clientData/>
  </xdr:twoCellAnchor>
  <xdr:twoCellAnchor editAs="oneCell">
    <xdr:from>
      <xdr:col>2</xdr:col>
      <xdr:colOff>583809</xdr:colOff>
      <xdr:row>141</xdr:row>
      <xdr:rowOff>12453</xdr:rowOff>
    </xdr:from>
    <xdr:to>
      <xdr:col>4</xdr:col>
      <xdr:colOff>1524602</xdr:colOff>
      <xdr:row>147</xdr:row>
      <xdr:rowOff>35167</xdr:rowOff>
    </xdr:to>
    <xdr:pic>
      <xdr:nvPicPr>
        <xdr:cNvPr id="13" name="Picture 12">
          <a:extLst>
            <a:ext uri="{FF2B5EF4-FFF2-40B4-BE49-F238E27FC236}">
              <a16:creationId xmlns:a16="http://schemas.microsoft.com/office/drawing/2014/main" id="{32F5713B-B3A5-4186-B718-E685482514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19311" y="26023616"/>
          <a:ext cx="1848159" cy="11199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590833</xdr:colOff>
      <xdr:row>24</xdr:row>
      <xdr:rowOff>288387</xdr:rowOff>
    </xdr:from>
    <xdr:ext cx="7407925" cy="1176156"/>
    <xdr:sp macro="" textlink="">
      <xdr:nvSpPr>
        <xdr:cNvPr id="14" name="Rectangle 13">
          <a:extLst>
            <a:ext uri="{FF2B5EF4-FFF2-40B4-BE49-F238E27FC236}">
              <a16:creationId xmlns:a16="http://schemas.microsoft.com/office/drawing/2014/main" id="{9F4A17BF-6834-473E-8AA3-EF003939D4DB}"/>
            </a:ext>
          </a:extLst>
        </xdr:cNvPr>
        <xdr:cNvSpPr/>
      </xdr:nvSpPr>
      <xdr:spPr>
        <a:xfrm rot="20892688">
          <a:off x="1526335" y="5732584"/>
          <a:ext cx="7407925" cy="1176156"/>
        </a:xfrm>
        <a:prstGeom prst="rect">
          <a:avLst/>
        </a:prstGeom>
        <a:noFill/>
      </xdr:spPr>
      <xdr:txBody>
        <a:bodyPr wrap="none" lIns="91440" tIns="45720" rIns="91440" bIns="45720">
          <a:spAutoFit/>
        </a:bodyPr>
        <a:lstStyle/>
        <a:p>
          <a:pPr algn="ctr"/>
          <a:r>
            <a:rPr lang="en-US" sz="7200" b="1" cap="none" spc="50">
              <a:ln w="0"/>
              <a:solidFill>
                <a:schemeClr val="bg2">
                  <a:alpha val="7000"/>
                </a:schemeClr>
              </a:solidFill>
              <a:effectLst>
                <a:innerShdw blurRad="63500" dist="50800" dir="13500000">
                  <a:srgbClr val="000000">
                    <a:alpha val="50000"/>
                  </a:srgbClr>
                </a:innerShdw>
              </a:effectLst>
              <a:latin typeface="Bookman Old Style" panose="02050604050505020204" pitchFamily="18" charset="0"/>
            </a:rPr>
            <a:t>F I N O W I S E</a:t>
          </a:r>
        </a:p>
      </xdr:txBody>
    </xdr:sp>
    <xdr:clientData/>
  </xdr:oneCellAnchor>
  <xdr:oneCellAnchor>
    <xdr:from>
      <xdr:col>2</xdr:col>
      <xdr:colOff>419674</xdr:colOff>
      <xdr:row>90</xdr:row>
      <xdr:rowOff>46890</xdr:rowOff>
    </xdr:from>
    <xdr:ext cx="7407925" cy="1176156"/>
    <xdr:sp macro="" textlink="">
      <xdr:nvSpPr>
        <xdr:cNvPr id="15" name="Rectangle 14">
          <a:extLst>
            <a:ext uri="{FF2B5EF4-FFF2-40B4-BE49-F238E27FC236}">
              <a16:creationId xmlns:a16="http://schemas.microsoft.com/office/drawing/2014/main" id="{5E50B711-3AEA-483B-888D-80AFBAE0CCC1}"/>
            </a:ext>
          </a:extLst>
        </xdr:cNvPr>
        <xdr:cNvSpPr/>
      </xdr:nvSpPr>
      <xdr:spPr>
        <a:xfrm rot="20914966">
          <a:off x="1355176" y="18208281"/>
          <a:ext cx="7407925" cy="1176156"/>
        </a:xfrm>
        <a:prstGeom prst="rect">
          <a:avLst/>
        </a:prstGeom>
        <a:noFill/>
      </xdr:spPr>
      <xdr:txBody>
        <a:bodyPr wrap="none" lIns="91440" tIns="45720" rIns="91440" bIns="45720">
          <a:spAutoFit/>
        </a:bodyPr>
        <a:lstStyle/>
        <a:p>
          <a:pPr algn="ctr"/>
          <a:r>
            <a:rPr lang="en-US" sz="7200" b="1" cap="none" spc="50">
              <a:ln w="0"/>
              <a:solidFill>
                <a:schemeClr val="bg2">
                  <a:alpha val="7000"/>
                </a:schemeClr>
              </a:solidFill>
              <a:effectLst>
                <a:innerShdw blurRad="63500" dist="50800" dir="13500000">
                  <a:srgbClr val="000000">
                    <a:alpha val="50000"/>
                  </a:srgbClr>
                </a:innerShdw>
              </a:effectLst>
              <a:latin typeface="Bookman Old Style" panose="02050604050505020204" pitchFamily="18" charset="0"/>
            </a:rPr>
            <a:t>F I N O W I S E</a:t>
          </a:r>
        </a:p>
      </xdr:txBody>
    </xdr:sp>
    <xdr:clientData/>
  </xdr:oneCellAnchor>
  <xdr:oneCellAnchor>
    <xdr:from>
      <xdr:col>4</xdr:col>
      <xdr:colOff>213345</xdr:colOff>
      <xdr:row>126</xdr:row>
      <xdr:rowOff>100820</xdr:rowOff>
    </xdr:from>
    <xdr:ext cx="7407925" cy="1176156"/>
    <xdr:sp macro="" textlink="">
      <xdr:nvSpPr>
        <xdr:cNvPr id="16" name="Rectangle 15">
          <a:extLst>
            <a:ext uri="{FF2B5EF4-FFF2-40B4-BE49-F238E27FC236}">
              <a16:creationId xmlns:a16="http://schemas.microsoft.com/office/drawing/2014/main" id="{12CF43E1-C0A8-4435-A1E3-143D933EA8AE}"/>
            </a:ext>
          </a:extLst>
        </xdr:cNvPr>
        <xdr:cNvSpPr/>
      </xdr:nvSpPr>
      <xdr:spPr>
        <a:xfrm rot="21285885">
          <a:off x="2056213" y="23833017"/>
          <a:ext cx="7407925" cy="1176156"/>
        </a:xfrm>
        <a:prstGeom prst="rect">
          <a:avLst/>
        </a:prstGeom>
        <a:noFill/>
      </xdr:spPr>
      <xdr:txBody>
        <a:bodyPr wrap="none" lIns="91440" tIns="45720" rIns="91440" bIns="45720">
          <a:spAutoFit/>
        </a:bodyPr>
        <a:lstStyle/>
        <a:p>
          <a:pPr algn="ctr"/>
          <a:r>
            <a:rPr lang="en-US" sz="7200" b="1" cap="none" spc="50">
              <a:ln w="0"/>
              <a:solidFill>
                <a:schemeClr val="bg2">
                  <a:alpha val="7000"/>
                </a:schemeClr>
              </a:solidFill>
              <a:effectLst>
                <a:innerShdw blurRad="63500" dist="50800" dir="13500000">
                  <a:srgbClr val="000000">
                    <a:alpha val="50000"/>
                  </a:srgbClr>
                </a:innerShdw>
              </a:effectLst>
              <a:latin typeface="Bookman Old Style" panose="02050604050505020204" pitchFamily="18" charset="0"/>
            </a:rPr>
            <a:t>F I N O W I S E</a:t>
          </a:r>
        </a:p>
      </xdr:txBody>
    </xdr:sp>
    <xdr:clientData/>
  </xdr:oneCellAnchor>
  <xdr:twoCellAnchor>
    <xdr:from>
      <xdr:col>8</xdr:col>
      <xdr:colOff>256735</xdr:colOff>
      <xdr:row>98</xdr:row>
      <xdr:rowOff>91440</xdr:rowOff>
    </xdr:from>
    <xdr:to>
      <xdr:col>13</xdr:col>
      <xdr:colOff>309488</xdr:colOff>
      <xdr:row>117</xdr:row>
      <xdr:rowOff>28135</xdr:rowOff>
    </xdr:to>
    <xdr:graphicFrame macro="">
      <xdr:nvGraphicFramePr>
        <xdr:cNvPr id="17" name="Chart 16">
          <a:extLst>
            <a:ext uri="{FF2B5EF4-FFF2-40B4-BE49-F238E27FC236}">
              <a16:creationId xmlns:a16="http://schemas.microsoft.com/office/drawing/2014/main" id="{6CBFC5C9-A0DF-4B84-A633-02B0674CA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70335</xdr:colOff>
      <xdr:row>1</xdr:row>
      <xdr:rowOff>73584</xdr:rowOff>
    </xdr:from>
    <xdr:to>
      <xdr:col>4</xdr:col>
      <xdr:colOff>904583</xdr:colOff>
      <xdr:row>2</xdr:row>
      <xdr:rowOff>105508</xdr:rowOff>
    </xdr:to>
    <xdr:pic>
      <xdr:nvPicPr>
        <xdr:cNvPr id="19" name="Picture 18">
          <a:extLst>
            <a:ext uri="{FF2B5EF4-FFF2-40B4-BE49-F238E27FC236}">
              <a16:creationId xmlns:a16="http://schemas.microsoft.com/office/drawing/2014/main" id="{DBC032D0-6E78-FE40-B582-8F3E35A1D52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9313" y="256464"/>
          <a:ext cx="2058138" cy="756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755946</xdr:colOff>
      <xdr:row>41</xdr:row>
      <xdr:rowOff>25186</xdr:rowOff>
    </xdr:from>
    <xdr:ext cx="7850162" cy="2847574"/>
    <xdr:sp macro="" textlink="">
      <xdr:nvSpPr>
        <xdr:cNvPr id="2" name="Rectangle 1">
          <a:extLst>
            <a:ext uri="{FF2B5EF4-FFF2-40B4-BE49-F238E27FC236}">
              <a16:creationId xmlns:a16="http://schemas.microsoft.com/office/drawing/2014/main" id="{E2BBD54C-7D8F-1FF7-97DF-9A62E078F9E1}"/>
            </a:ext>
          </a:extLst>
        </xdr:cNvPr>
        <xdr:cNvSpPr/>
      </xdr:nvSpPr>
      <xdr:spPr>
        <a:xfrm rot="20451085">
          <a:off x="2598814" y="9387235"/>
          <a:ext cx="7850162" cy="2847574"/>
        </a:xfrm>
        <a:prstGeom prst="rect">
          <a:avLst/>
        </a:prstGeom>
        <a:noFill/>
      </xdr:spPr>
      <xdr:txBody>
        <a:bodyPr wrap="none" lIns="91440" tIns="45720" rIns="91440" bIns="45720">
          <a:spAutoFit/>
        </a:bodyPr>
        <a:lstStyle/>
        <a:p>
          <a:pPr algn="ctr"/>
          <a:r>
            <a:rPr lang="en-US" sz="8800" b="1" cap="none" spc="0">
              <a:ln w="22225">
                <a:solidFill>
                  <a:schemeClr val="accent2"/>
                </a:solidFill>
                <a:prstDash val="solid"/>
              </a:ln>
              <a:solidFill>
                <a:schemeClr val="accent2">
                  <a:lumMod val="40000"/>
                  <a:lumOff val="60000"/>
                </a:schemeClr>
              </a:solidFill>
              <a:effectLst/>
            </a:rPr>
            <a:t>Reference</a:t>
          </a:r>
          <a:r>
            <a:rPr lang="en-US" sz="8800" b="1" cap="none" spc="0" baseline="0">
              <a:ln w="22225">
                <a:solidFill>
                  <a:schemeClr val="accent2"/>
                </a:solidFill>
                <a:prstDash val="solid"/>
              </a:ln>
              <a:solidFill>
                <a:schemeClr val="accent2">
                  <a:lumMod val="40000"/>
                  <a:lumOff val="60000"/>
                </a:schemeClr>
              </a:solidFill>
              <a:effectLst/>
            </a:rPr>
            <a:t> Sheet</a:t>
          </a:r>
        </a:p>
        <a:p>
          <a:pPr algn="ctr"/>
          <a:r>
            <a:rPr lang="en-US" sz="8800" b="1" cap="none" spc="0" baseline="0">
              <a:ln w="22225">
                <a:solidFill>
                  <a:schemeClr val="accent2"/>
                </a:solidFill>
                <a:prstDash val="solid"/>
              </a:ln>
              <a:solidFill>
                <a:schemeClr val="accent2">
                  <a:lumMod val="40000"/>
                  <a:lumOff val="60000"/>
                </a:schemeClr>
              </a:solidFill>
              <a:effectLst/>
            </a:rPr>
            <a:t>Do not Delete</a:t>
          </a:r>
          <a:endParaRPr lang="en-US" sz="88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66822</xdr:colOff>
      <xdr:row>99</xdr:row>
      <xdr:rowOff>84401</xdr:rowOff>
    </xdr:from>
    <xdr:to>
      <xdr:col>8</xdr:col>
      <xdr:colOff>794826</xdr:colOff>
      <xdr:row>118</xdr:row>
      <xdr:rowOff>14066</xdr:rowOff>
    </xdr:to>
    <xdr:graphicFrame macro="">
      <xdr:nvGraphicFramePr>
        <xdr:cNvPr id="2" name="Chart 1">
          <a:extLst>
            <a:ext uri="{FF2B5EF4-FFF2-40B4-BE49-F238E27FC236}">
              <a16:creationId xmlns:a16="http://schemas.microsoft.com/office/drawing/2014/main" id="{BC888B66-F29E-4F1C-99ED-24BB05CAF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576775</xdr:colOff>
      <xdr:row>1</xdr:row>
      <xdr:rowOff>35170</xdr:rowOff>
    </xdr:from>
    <xdr:to>
      <xdr:col>15</xdr:col>
      <xdr:colOff>126609</xdr:colOff>
      <xdr:row>1</xdr:row>
      <xdr:rowOff>1019908</xdr:rowOff>
    </xdr:to>
    <xdr:sp macro="" textlink="">
      <xdr:nvSpPr>
        <xdr:cNvPr id="3" name="TextBox 2">
          <a:extLst>
            <a:ext uri="{FF2B5EF4-FFF2-40B4-BE49-F238E27FC236}">
              <a16:creationId xmlns:a16="http://schemas.microsoft.com/office/drawing/2014/main" id="{9B90EB5B-3A3B-4D1B-8BDF-EE720BD28E3D}"/>
            </a:ext>
          </a:extLst>
        </xdr:cNvPr>
        <xdr:cNvSpPr txBox="1"/>
      </xdr:nvSpPr>
      <xdr:spPr>
        <a:xfrm>
          <a:off x="2461846" y="218050"/>
          <a:ext cx="10283483" cy="984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kern="1200">
              <a:solidFill>
                <a:srgbClr val="042F37"/>
              </a:solidFill>
              <a:latin typeface="Arial Black" panose="020B0A04020102020204" pitchFamily="34" charset="0"/>
            </a:rPr>
            <a:t>Six Levels to Financial Success Ladder Blueprint</a:t>
          </a:r>
        </a:p>
        <a:p>
          <a:pPr algn="ctr"/>
          <a:r>
            <a:rPr lang="en-IN" sz="2400" kern="1200">
              <a:solidFill>
                <a:srgbClr val="FF0000"/>
              </a:solidFill>
              <a:latin typeface="Arial Black" panose="020B0A04020102020204" pitchFamily="34" charset="0"/>
            </a:rPr>
            <a:t>(FSL Blueprint)</a:t>
          </a:r>
        </a:p>
      </xdr:txBody>
    </xdr:sp>
    <xdr:clientData/>
  </xdr:twoCellAnchor>
  <xdr:twoCellAnchor>
    <xdr:from>
      <xdr:col>1</xdr:col>
      <xdr:colOff>1</xdr:colOff>
      <xdr:row>140</xdr:row>
      <xdr:rowOff>35169</xdr:rowOff>
    </xdr:from>
    <xdr:to>
      <xdr:col>8</xdr:col>
      <xdr:colOff>794825</xdr:colOff>
      <xdr:row>155</xdr:row>
      <xdr:rowOff>171969</xdr:rowOff>
    </xdr:to>
    <xdr:sp macro="" textlink="">
      <xdr:nvSpPr>
        <xdr:cNvPr id="4" name="TextBox 3">
          <a:extLst>
            <a:ext uri="{FF2B5EF4-FFF2-40B4-BE49-F238E27FC236}">
              <a16:creationId xmlns:a16="http://schemas.microsoft.com/office/drawing/2014/main" id="{854C9528-BD69-4D3E-83D8-E7830730F220}"/>
            </a:ext>
          </a:extLst>
        </xdr:cNvPr>
        <xdr:cNvSpPr txBox="1"/>
      </xdr:nvSpPr>
      <xdr:spPr>
        <a:xfrm>
          <a:off x="182881" y="32728486"/>
          <a:ext cx="6168682" cy="28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t>Notes :</a:t>
          </a:r>
        </a:p>
        <a:p>
          <a:r>
            <a:rPr lang="en-IN" sz="1100" kern="1200"/>
            <a:t>* Rate of Return Assumption to achieve Freedom</a:t>
          </a:r>
          <a:r>
            <a:rPr lang="en-IN" sz="1100" kern="1200" baseline="0"/>
            <a:t> Wealth Corpus</a:t>
          </a:r>
        </a:p>
        <a:p>
          <a:endParaRPr lang="en-IN" sz="1100" kern="1200" baseline="0"/>
        </a:p>
        <a:p>
          <a:endParaRPr lang="en-IN" sz="1100" kern="1200" baseline="0"/>
        </a:p>
        <a:p>
          <a:endParaRPr lang="en-IN" sz="1100" kern="1200" baseline="0"/>
        </a:p>
        <a:p>
          <a:endParaRPr lang="en-IN" sz="1100" kern="1200" baseline="0"/>
        </a:p>
        <a:p>
          <a:endParaRPr lang="en-IN" sz="1100" kern="1200" baseline="0"/>
        </a:p>
        <a:p>
          <a:endParaRPr lang="en-IN" sz="1100" kern="1200" baseline="0"/>
        </a:p>
        <a:p>
          <a:endParaRPr lang="en-IN" sz="1100" kern="1200" baseline="0"/>
        </a:p>
        <a:p>
          <a:endParaRPr lang="en-IN" sz="1100" kern="1200" baseline="0"/>
        </a:p>
        <a:p>
          <a:pPr marL="0" marR="0" lvl="0" indent="0" defTabSz="914400" rtl="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 </a:t>
          </a:r>
          <a:r>
            <a:rPr lang="en-US" sz="1100" b="0">
              <a:solidFill>
                <a:schemeClr val="dk1"/>
              </a:solidFill>
              <a:effectLst/>
              <a:latin typeface="+mn-lt"/>
              <a:ea typeface="+mn-ea"/>
              <a:cs typeface="+mn-cs"/>
            </a:rPr>
            <a:t>Above return assumption is for illustration purpose only. Actual Return may vary depending on Market / Interest Rate / Government Policy etc.</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 Monthly investment option assumes begining of period payments</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a:t>
          </a:r>
          <a:r>
            <a:rPr lang="en-US" sz="1100" b="0" baseline="0">
              <a:solidFill>
                <a:schemeClr val="dk1"/>
              </a:solidFill>
              <a:effectLst/>
              <a:latin typeface="+mn-lt"/>
              <a:ea typeface="+mn-ea"/>
              <a:cs typeface="+mn-cs"/>
            </a:rPr>
            <a:t> GAP Freedom Wealth represents the additional amount required to achieve each Financial Success Level</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0" kern="1200" baseline="0">
              <a:solidFill>
                <a:schemeClr val="dk1"/>
              </a:solidFill>
              <a:effectLst/>
              <a:latin typeface="+mn-lt"/>
              <a:ea typeface="+mn-ea"/>
              <a:cs typeface="+mn-cs"/>
            </a:rPr>
            <a:t>* Inflation rate assumed @6%</a:t>
          </a:r>
          <a:endParaRPr lang="en-IN" sz="1100" kern="1200"/>
        </a:p>
      </xdr:txBody>
    </xdr:sp>
    <xdr:clientData/>
  </xdr:twoCellAnchor>
  <xdr:twoCellAnchor>
    <xdr:from>
      <xdr:col>8</xdr:col>
      <xdr:colOff>900333</xdr:colOff>
      <xdr:row>140</xdr:row>
      <xdr:rowOff>49236</xdr:rowOff>
    </xdr:from>
    <xdr:to>
      <xdr:col>15</xdr:col>
      <xdr:colOff>323557</xdr:colOff>
      <xdr:row>156</xdr:row>
      <xdr:rowOff>0</xdr:rowOff>
    </xdr:to>
    <xdr:sp macro="" textlink="">
      <xdr:nvSpPr>
        <xdr:cNvPr id="5" name="TextBox 4">
          <a:extLst>
            <a:ext uri="{FF2B5EF4-FFF2-40B4-BE49-F238E27FC236}">
              <a16:creationId xmlns:a16="http://schemas.microsoft.com/office/drawing/2014/main" id="{FFA3CA1C-EF33-460B-A389-B363868364DF}"/>
            </a:ext>
          </a:extLst>
        </xdr:cNvPr>
        <xdr:cNvSpPr txBox="1"/>
      </xdr:nvSpPr>
      <xdr:spPr>
        <a:xfrm>
          <a:off x="6457071" y="32742553"/>
          <a:ext cx="6147581" cy="2876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t>Disclaimers :</a:t>
          </a:r>
        </a:p>
        <a:p>
          <a:r>
            <a:rPr lang="en-IN" sz="1100" kern="1200"/>
            <a:t>* Above content and information </a:t>
          </a:r>
          <a:r>
            <a:rPr lang="en-IN" sz="1100" kern="1200" baseline="0"/>
            <a:t>is for education and illustrative purpose only. This should not be considered as financial advice / recommendations. Before making any investment decision, consult your Relationship Manager</a:t>
          </a:r>
        </a:p>
        <a:p>
          <a:r>
            <a:rPr lang="en-IN" sz="1100" kern="1200" baseline="0"/>
            <a:t>* While Finowise Freedom LLP takes resonable steps to ensure the accuracy of all the information provided above, it does not gurantee the completeness, efficacy, accuracy or timeliness of such information.</a:t>
          </a:r>
        </a:p>
        <a:p>
          <a:r>
            <a:rPr lang="en-IN" sz="1100" kern="1200" baseline="0"/>
            <a:t>* Past performance is not guarantee for future result. Any investments in financial markets are subjected to market risks. Please read relevant offer documents of respective schemes carefully before making any investment decision.</a:t>
          </a:r>
        </a:p>
        <a:p>
          <a:endParaRPr lang="en-IN" sz="1100" kern="1200"/>
        </a:p>
      </xdr:txBody>
    </xdr:sp>
    <xdr:clientData/>
  </xdr:twoCellAnchor>
  <xdr:twoCellAnchor editAs="oneCell">
    <xdr:from>
      <xdr:col>2</xdr:col>
      <xdr:colOff>583809</xdr:colOff>
      <xdr:row>143</xdr:row>
      <xdr:rowOff>12453</xdr:rowOff>
    </xdr:from>
    <xdr:to>
      <xdr:col>4</xdr:col>
      <xdr:colOff>1004097</xdr:colOff>
      <xdr:row>149</xdr:row>
      <xdr:rowOff>35166</xdr:rowOff>
    </xdr:to>
    <xdr:pic>
      <xdr:nvPicPr>
        <xdr:cNvPr id="6" name="Picture 5">
          <a:extLst>
            <a:ext uri="{FF2B5EF4-FFF2-40B4-BE49-F238E27FC236}">
              <a16:creationId xmlns:a16="http://schemas.microsoft.com/office/drawing/2014/main" id="{37FA90D3-7B66-4ED8-A3D0-EA854BFB16C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19311" y="29758588"/>
          <a:ext cx="1848159" cy="11199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379818</xdr:colOff>
      <xdr:row>37</xdr:row>
      <xdr:rowOff>211016</xdr:rowOff>
    </xdr:from>
    <xdr:ext cx="7407925" cy="1176156"/>
    <xdr:sp macro="" textlink="">
      <xdr:nvSpPr>
        <xdr:cNvPr id="7" name="Rectangle 6">
          <a:extLst>
            <a:ext uri="{FF2B5EF4-FFF2-40B4-BE49-F238E27FC236}">
              <a16:creationId xmlns:a16="http://schemas.microsoft.com/office/drawing/2014/main" id="{4D6D23EF-CDFB-44D7-BCAF-21B9A80ADEDA}"/>
            </a:ext>
          </a:extLst>
        </xdr:cNvPr>
        <xdr:cNvSpPr/>
      </xdr:nvSpPr>
      <xdr:spPr>
        <a:xfrm rot="20892688">
          <a:off x="12991504" y="13012616"/>
          <a:ext cx="7407925" cy="1176156"/>
        </a:xfrm>
        <a:prstGeom prst="rect">
          <a:avLst/>
        </a:prstGeom>
        <a:noFill/>
      </xdr:spPr>
      <xdr:txBody>
        <a:bodyPr wrap="none" lIns="91440" tIns="45720" rIns="91440" bIns="45720">
          <a:spAutoFit/>
        </a:bodyPr>
        <a:lstStyle/>
        <a:p>
          <a:pPr algn="ctr"/>
          <a:r>
            <a:rPr lang="en-US" sz="7200" b="1" cap="none" spc="50">
              <a:ln w="0"/>
              <a:solidFill>
                <a:schemeClr val="bg2">
                  <a:alpha val="7000"/>
                </a:schemeClr>
              </a:solidFill>
              <a:effectLst>
                <a:innerShdw blurRad="63500" dist="50800" dir="13500000">
                  <a:srgbClr val="000000">
                    <a:alpha val="50000"/>
                  </a:srgbClr>
                </a:innerShdw>
              </a:effectLst>
              <a:latin typeface="Bookman Old Style" panose="02050604050505020204" pitchFamily="18" charset="0"/>
            </a:rPr>
            <a:t>F I N O W I S E</a:t>
          </a:r>
        </a:p>
      </xdr:txBody>
    </xdr:sp>
    <xdr:clientData/>
  </xdr:oneCellAnchor>
  <xdr:oneCellAnchor>
    <xdr:from>
      <xdr:col>29</xdr:col>
      <xdr:colOff>39849</xdr:colOff>
      <xdr:row>86</xdr:row>
      <xdr:rowOff>194602</xdr:rowOff>
    </xdr:from>
    <xdr:ext cx="7407925" cy="1176156"/>
    <xdr:sp macro="" textlink="">
      <xdr:nvSpPr>
        <xdr:cNvPr id="8" name="Rectangle 7">
          <a:extLst>
            <a:ext uri="{FF2B5EF4-FFF2-40B4-BE49-F238E27FC236}">
              <a16:creationId xmlns:a16="http://schemas.microsoft.com/office/drawing/2014/main" id="{346CF404-6AC8-424A-934F-6BCADDDB48DB}"/>
            </a:ext>
          </a:extLst>
        </xdr:cNvPr>
        <xdr:cNvSpPr/>
      </xdr:nvSpPr>
      <xdr:spPr>
        <a:xfrm rot="20914966">
          <a:off x="13664409" y="26142460"/>
          <a:ext cx="7407925" cy="1176156"/>
        </a:xfrm>
        <a:prstGeom prst="rect">
          <a:avLst/>
        </a:prstGeom>
        <a:noFill/>
      </xdr:spPr>
      <xdr:txBody>
        <a:bodyPr wrap="none" lIns="91440" tIns="45720" rIns="91440" bIns="45720">
          <a:spAutoFit/>
        </a:bodyPr>
        <a:lstStyle/>
        <a:p>
          <a:pPr algn="ctr"/>
          <a:r>
            <a:rPr lang="en-US" sz="7200" b="1" cap="none" spc="50">
              <a:ln w="0"/>
              <a:solidFill>
                <a:schemeClr val="bg2">
                  <a:alpha val="7000"/>
                </a:schemeClr>
              </a:solidFill>
              <a:effectLst>
                <a:innerShdw blurRad="63500" dist="50800" dir="13500000">
                  <a:srgbClr val="000000">
                    <a:alpha val="50000"/>
                  </a:srgbClr>
                </a:innerShdw>
              </a:effectLst>
              <a:latin typeface="Bookman Old Style" panose="02050604050505020204" pitchFamily="18" charset="0"/>
            </a:rPr>
            <a:t>F I N O W I S E</a:t>
          </a:r>
        </a:p>
      </xdr:txBody>
    </xdr:sp>
    <xdr:clientData/>
  </xdr:oneCellAnchor>
  <xdr:twoCellAnchor>
    <xdr:from>
      <xdr:col>8</xdr:col>
      <xdr:colOff>872197</xdr:colOff>
      <xdr:row>99</xdr:row>
      <xdr:rowOff>91440</xdr:rowOff>
    </xdr:from>
    <xdr:to>
      <xdr:col>15</xdr:col>
      <xdr:colOff>309488</xdr:colOff>
      <xdr:row>118</xdr:row>
      <xdr:rowOff>28135</xdr:rowOff>
    </xdr:to>
    <xdr:graphicFrame macro="">
      <xdr:nvGraphicFramePr>
        <xdr:cNvPr id="10" name="Chart 9">
          <a:extLst>
            <a:ext uri="{FF2B5EF4-FFF2-40B4-BE49-F238E27FC236}">
              <a16:creationId xmlns:a16="http://schemas.microsoft.com/office/drawing/2014/main" id="{3BF483E9-386C-43F5-8953-1AA9D0247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133644</xdr:colOff>
      <xdr:row>1</xdr:row>
      <xdr:rowOff>63305</xdr:rowOff>
    </xdr:from>
    <xdr:to>
      <xdr:col>4</xdr:col>
      <xdr:colOff>447388</xdr:colOff>
      <xdr:row>1</xdr:row>
      <xdr:rowOff>819715</xdr:rowOff>
    </xdr:to>
    <xdr:pic>
      <xdr:nvPicPr>
        <xdr:cNvPr id="12" name="Picture 11">
          <a:extLst>
            <a:ext uri="{FF2B5EF4-FFF2-40B4-BE49-F238E27FC236}">
              <a16:creationId xmlns:a16="http://schemas.microsoft.com/office/drawing/2014/main" id="{09E6230F-8EA8-44F6-9DCE-A5E8473AE95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52622" y="246185"/>
          <a:ext cx="2058138" cy="756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869839</xdr:colOff>
      <xdr:row>48</xdr:row>
      <xdr:rowOff>75030</xdr:rowOff>
    </xdr:from>
    <xdr:ext cx="7407925" cy="1176156"/>
    <xdr:sp macro="" textlink="">
      <xdr:nvSpPr>
        <xdr:cNvPr id="11" name="Rectangle 10">
          <a:extLst>
            <a:ext uri="{FF2B5EF4-FFF2-40B4-BE49-F238E27FC236}">
              <a16:creationId xmlns:a16="http://schemas.microsoft.com/office/drawing/2014/main" id="{6806B957-27D4-481B-9C9B-8D476C4F0C92}"/>
            </a:ext>
          </a:extLst>
        </xdr:cNvPr>
        <xdr:cNvSpPr/>
      </xdr:nvSpPr>
      <xdr:spPr>
        <a:xfrm rot="20892688">
          <a:off x="13481525" y="14480347"/>
          <a:ext cx="7407925" cy="1176156"/>
        </a:xfrm>
        <a:prstGeom prst="rect">
          <a:avLst/>
        </a:prstGeom>
        <a:noFill/>
      </xdr:spPr>
      <xdr:txBody>
        <a:bodyPr wrap="none" lIns="91440" tIns="45720" rIns="91440" bIns="45720">
          <a:spAutoFit/>
        </a:bodyPr>
        <a:lstStyle/>
        <a:p>
          <a:pPr algn="ctr"/>
          <a:r>
            <a:rPr lang="en-US" sz="7200" b="1" cap="none" spc="50">
              <a:ln w="0"/>
              <a:solidFill>
                <a:schemeClr val="bg2">
                  <a:alpha val="7000"/>
                </a:schemeClr>
              </a:solidFill>
              <a:effectLst>
                <a:innerShdw blurRad="63500" dist="50800" dir="13500000">
                  <a:srgbClr val="000000">
                    <a:alpha val="50000"/>
                  </a:srgbClr>
                </a:innerShdw>
              </a:effectLst>
              <a:latin typeface="Bookman Old Style" panose="02050604050505020204" pitchFamily="18" charset="0"/>
            </a:rPr>
            <a:t>F I N O W I S E</a:t>
          </a:r>
        </a:p>
      </xdr:txBody>
    </xdr:sp>
    <xdr:clientData/>
  </xdr:oneCellAnchor>
  <xdr:twoCellAnchor>
    <xdr:from>
      <xdr:col>14</xdr:col>
      <xdr:colOff>288388</xdr:colOff>
      <xdr:row>86</xdr:row>
      <xdr:rowOff>161778</xdr:rowOff>
    </xdr:from>
    <xdr:to>
      <xdr:col>14</xdr:col>
      <xdr:colOff>1237957</xdr:colOff>
      <xdr:row>96</xdr:row>
      <xdr:rowOff>70338</xdr:rowOff>
    </xdr:to>
    <xdr:sp macro="" textlink="">
      <xdr:nvSpPr>
        <xdr:cNvPr id="14" name="Arrow: Down 13">
          <a:extLst>
            <a:ext uri="{FF2B5EF4-FFF2-40B4-BE49-F238E27FC236}">
              <a16:creationId xmlns:a16="http://schemas.microsoft.com/office/drawing/2014/main" id="{095A7187-94C8-AEC4-BC94-1B6A5B6627AD}"/>
            </a:ext>
          </a:extLst>
        </xdr:cNvPr>
        <xdr:cNvSpPr/>
      </xdr:nvSpPr>
      <xdr:spPr>
        <a:xfrm>
          <a:off x="11113477" y="26109636"/>
          <a:ext cx="949569" cy="2124222"/>
        </a:xfrm>
        <a:prstGeom prst="downArrow">
          <a:avLst/>
        </a:prstGeom>
        <a:solidFill>
          <a:srgbClr val="C63204"/>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853428</xdr:colOff>
      <xdr:row>106</xdr:row>
      <xdr:rowOff>114887</xdr:rowOff>
    </xdr:from>
    <xdr:ext cx="7407925" cy="1176156"/>
    <xdr:sp macro="" textlink="">
      <xdr:nvSpPr>
        <xdr:cNvPr id="9" name="Rectangle 8">
          <a:extLst>
            <a:ext uri="{FF2B5EF4-FFF2-40B4-BE49-F238E27FC236}">
              <a16:creationId xmlns:a16="http://schemas.microsoft.com/office/drawing/2014/main" id="{682D41F3-CB16-40F6-AA70-BE56142919C0}"/>
            </a:ext>
          </a:extLst>
        </xdr:cNvPr>
        <xdr:cNvSpPr/>
      </xdr:nvSpPr>
      <xdr:spPr>
        <a:xfrm rot="21285885">
          <a:off x="2738499" y="31380333"/>
          <a:ext cx="7407925" cy="1176156"/>
        </a:xfrm>
        <a:prstGeom prst="rect">
          <a:avLst/>
        </a:prstGeom>
        <a:noFill/>
      </xdr:spPr>
      <xdr:txBody>
        <a:bodyPr wrap="none" lIns="91440" tIns="45720" rIns="91440" bIns="45720">
          <a:spAutoFit/>
        </a:bodyPr>
        <a:lstStyle/>
        <a:p>
          <a:pPr algn="ctr"/>
          <a:r>
            <a:rPr lang="en-US" sz="7200" b="1" cap="none" spc="50">
              <a:ln w="0"/>
              <a:solidFill>
                <a:schemeClr val="bg2">
                  <a:alpha val="7000"/>
                </a:schemeClr>
              </a:solidFill>
              <a:effectLst>
                <a:innerShdw blurRad="63500" dist="50800" dir="13500000">
                  <a:srgbClr val="000000">
                    <a:alpha val="50000"/>
                  </a:srgbClr>
                </a:innerShdw>
              </a:effectLst>
              <a:latin typeface="Bookman Old Style" panose="02050604050505020204" pitchFamily="18" charset="0"/>
            </a:rPr>
            <a:t>F I N O W I S E</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3</xdr:col>
      <xdr:colOff>513471</xdr:colOff>
      <xdr:row>4</xdr:row>
      <xdr:rowOff>84407</xdr:rowOff>
    </xdr:from>
    <xdr:to>
      <xdr:col>3</xdr:col>
      <xdr:colOff>837471</xdr:colOff>
      <xdr:row>4</xdr:row>
      <xdr:rowOff>408407</xdr:rowOff>
    </xdr:to>
    <xdr:sp macro="" textlink="">
      <xdr:nvSpPr>
        <xdr:cNvPr id="2" name="Oval 1">
          <a:extLst>
            <a:ext uri="{FF2B5EF4-FFF2-40B4-BE49-F238E27FC236}">
              <a16:creationId xmlns:a16="http://schemas.microsoft.com/office/drawing/2014/main" id="{0B2C40B4-2C2B-C1CC-6717-00E85C818637}"/>
            </a:ext>
          </a:extLst>
        </xdr:cNvPr>
        <xdr:cNvSpPr/>
      </xdr:nvSpPr>
      <xdr:spPr>
        <a:xfrm>
          <a:off x="2370406" y="1181687"/>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461890</xdr:colOff>
      <xdr:row>5</xdr:row>
      <xdr:rowOff>82062</xdr:rowOff>
    </xdr:from>
    <xdr:to>
      <xdr:col>5</xdr:col>
      <xdr:colOff>785890</xdr:colOff>
      <xdr:row>5</xdr:row>
      <xdr:rowOff>406062</xdr:rowOff>
    </xdr:to>
    <xdr:sp macro="" textlink="">
      <xdr:nvSpPr>
        <xdr:cNvPr id="4" name="Oval 3">
          <a:extLst>
            <a:ext uri="{FF2B5EF4-FFF2-40B4-BE49-F238E27FC236}">
              <a16:creationId xmlns:a16="http://schemas.microsoft.com/office/drawing/2014/main" id="{4460DBC8-ADE0-4152-8BB3-D78653806FFD}"/>
            </a:ext>
          </a:extLst>
        </xdr:cNvPr>
        <xdr:cNvSpPr/>
      </xdr:nvSpPr>
      <xdr:spPr>
        <a:xfrm>
          <a:off x="4949484" y="1636542"/>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501747</xdr:colOff>
      <xdr:row>5</xdr:row>
      <xdr:rowOff>86751</xdr:rowOff>
    </xdr:from>
    <xdr:to>
      <xdr:col>4</xdr:col>
      <xdr:colOff>825747</xdr:colOff>
      <xdr:row>5</xdr:row>
      <xdr:rowOff>410751</xdr:rowOff>
    </xdr:to>
    <xdr:sp macro="" textlink="">
      <xdr:nvSpPr>
        <xdr:cNvPr id="5" name="Oval 4">
          <a:extLst>
            <a:ext uri="{FF2B5EF4-FFF2-40B4-BE49-F238E27FC236}">
              <a16:creationId xmlns:a16="http://schemas.microsoft.com/office/drawing/2014/main" id="{B0E461FB-EA62-44FD-A0BC-A21F74B96F53}"/>
            </a:ext>
          </a:extLst>
        </xdr:cNvPr>
        <xdr:cNvSpPr/>
      </xdr:nvSpPr>
      <xdr:spPr>
        <a:xfrm>
          <a:off x="3674012" y="1641231"/>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513471</xdr:colOff>
      <xdr:row>5</xdr:row>
      <xdr:rowOff>84407</xdr:rowOff>
    </xdr:from>
    <xdr:to>
      <xdr:col>3</xdr:col>
      <xdr:colOff>837471</xdr:colOff>
      <xdr:row>5</xdr:row>
      <xdr:rowOff>408407</xdr:rowOff>
    </xdr:to>
    <xdr:sp macro="" textlink="">
      <xdr:nvSpPr>
        <xdr:cNvPr id="6" name="Oval 5">
          <a:extLst>
            <a:ext uri="{FF2B5EF4-FFF2-40B4-BE49-F238E27FC236}">
              <a16:creationId xmlns:a16="http://schemas.microsoft.com/office/drawing/2014/main" id="{01CBB15D-CC02-4040-9611-302DEE974338}"/>
            </a:ext>
          </a:extLst>
        </xdr:cNvPr>
        <xdr:cNvSpPr/>
      </xdr:nvSpPr>
      <xdr:spPr>
        <a:xfrm>
          <a:off x="2370406" y="1638887"/>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511126</xdr:colOff>
      <xdr:row>6</xdr:row>
      <xdr:rowOff>89097</xdr:rowOff>
    </xdr:from>
    <xdr:to>
      <xdr:col>3</xdr:col>
      <xdr:colOff>835126</xdr:colOff>
      <xdr:row>6</xdr:row>
      <xdr:rowOff>413097</xdr:rowOff>
    </xdr:to>
    <xdr:sp macro="" textlink="">
      <xdr:nvSpPr>
        <xdr:cNvPr id="7" name="Oval 6">
          <a:extLst>
            <a:ext uri="{FF2B5EF4-FFF2-40B4-BE49-F238E27FC236}">
              <a16:creationId xmlns:a16="http://schemas.microsoft.com/office/drawing/2014/main" id="{1B700093-C247-4053-A37C-B8162D2A72F4}"/>
            </a:ext>
          </a:extLst>
        </xdr:cNvPr>
        <xdr:cNvSpPr/>
      </xdr:nvSpPr>
      <xdr:spPr>
        <a:xfrm>
          <a:off x="2368061" y="2100777"/>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515815</xdr:colOff>
      <xdr:row>7</xdr:row>
      <xdr:rowOff>93785</xdr:rowOff>
    </xdr:from>
    <xdr:to>
      <xdr:col>3</xdr:col>
      <xdr:colOff>839815</xdr:colOff>
      <xdr:row>7</xdr:row>
      <xdr:rowOff>417785</xdr:rowOff>
    </xdr:to>
    <xdr:sp macro="" textlink="">
      <xdr:nvSpPr>
        <xdr:cNvPr id="8" name="Oval 7">
          <a:extLst>
            <a:ext uri="{FF2B5EF4-FFF2-40B4-BE49-F238E27FC236}">
              <a16:creationId xmlns:a16="http://schemas.microsoft.com/office/drawing/2014/main" id="{CBE7C3B8-14A9-41F8-B77D-D2A5DD0FE9C4}"/>
            </a:ext>
          </a:extLst>
        </xdr:cNvPr>
        <xdr:cNvSpPr/>
      </xdr:nvSpPr>
      <xdr:spPr>
        <a:xfrm>
          <a:off x="2372750" y="2562665"/>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513471</xdr:colOff>
      <xdr:row>8</xdr:row>
      <xdr:rowOff>70339</xdr:rowOff>
    </xdr:from>
    <xdr:to>
      <xdr:col>3</xdr:col>
      <xdr:colOff>837471</xdr:colOff>
      <xdr:row>8</xdr:row>
      <xdr:rowOff>394339</xdr:rowOff>
    </xdr:to>
    <xdr:sp macro="" textlink="">
      <xdr:nvSpPr>
        <xdr:cNvPr id="9" name="Oval 8">
          <a:extLst>
            <a:ext uri="{FF2B5EF4-FFF2-40B4-BE49-F238E27FC236}">
              <a16:creationId xmlns:a16="http://schemas.microsoft.com/office/drawing/2014/main" id="{23A8F3DD-A5F3-4BFE-8794-74940702DF68}"/>
            </a:ext>
          </a:extLst>
        </xdr:cNvPr>
        <xdr:cNvSpPr/>
      </xdr:nvSpPr>
      <xdr:spPr>
        <a:xfrm>
          <a:off x="2370406" y="2996419"/>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511126</xdr:colOff>
      <xdr:row>9</xdr:row>
      <xdr:rowOff>67994</xdr:rowOff>
    </xdr:from>
    <xdr:to>
      <xdr:col>3</xdr:col>
      <xdr:colOff>835126</xdr:colOff>
      <xdr:row>9</xdr:row>
      <xdr:rowOff>391994</xdr:rowOff>
    </xdr:to>
    <xdr:sp macro="" textlink="">
      <xdr:nvSpPr>
        <xdr:cNvPr id="10" name="Oval 9">
          <a:extLst>
            <a:ext uri="{FF2B5EF4-FFF2-40B4-BE49-F238E27FC236}">
              <a16:creationId xmlns:a16="http://schemas.microsoft.com/office/drawing/2014/main" id="{68AB6926-E59A-4A22-9FE8-A58CEA31284A}"/>
            </a:ext>
          </a:extLst>
        </xdr:cNvPr>
        <xdr:cNvSpPr/>
      </xdr:nvSpPr>
      <xdr:spPr>
        <a:xfrm>
          <a:off x="2368061" y="3451274"/>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504093</xdr:colOff>
      <xdr:row>6</xdr:row>
      <xdr:rowOff>82062</xdr:rowOff>
    </xdr:from>
    <xdr:to>
      <xdr:col>4</xdr:col>
      <xdr:colOff>828093</xdr:colOff>
      <xdr:row>6</xdr:row>
      <xdr:rowOff>406062</xdr:rowOff>
    </xdr:to>
    <xdr:sp macro="" textlink="">
      <xdr:nvSpPr>
        <xdr:cNvPr id="12" name="Oval 11">
          <a:extLst>
            <a:ext uri="{FF2B5EF4-FFF2-40B4-BE49-F238E27FC236}">
              <a16:creationId xmlns:a16="http://schemas.microsoft.com/office/drawing/2014/main" id="{C45800CA-3926-4E28-B911-25F13C5585B3}"/>
            </a:ext>
          </a:extLst>
        </xdr:cNvPr>
        <xdr:cNvSpPr/>
      </xdr:nvSpPr>
      <xdr:spPr>
        <a:xfrm>
          <a:off x="3676358" y="2093742"/>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466579</xdr:colOff>
      <xdr:row>9</xdr:row>
      <xdr:rowOff>58616</xdr:rowOff>
    </xdr:from>
    <xdr:to>
      <xdr:col>8</xdr:col>
      <xdr:colOff>790579</xdr:colOff>
      <xdr:row>9</xdr:row>
      <xdr:rowOff>382616</xdr:rowOff>
    </xdr:to>
    <xdr:sp macro="" textlink="">
      <xdr:nvSpPr>
        <xdr:cNvPr id="13" name="Oval 12">
          <a:extLst>
            <a:ext uri="{FF2B5EF4-FFF2-40B4-BE49-F238E27FC236}">
              <a16:creationId xmlns:a16="http://schemas.microsoft.com/office/drawing/2014/main" id="{C5F64B5F-9684-42BB-A4EE-B6CDDB65B96A}"/>
            </a:ext>
          </a:extLst>
        </xdr:cNvPr>
        <xdr:cNvSpPr/>
      </xdr:nvSpPr>
      <xdr:spPr>
        <a:xfrm>
          <a:off x="8900161" y="3441896"/>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513475</xdr:colOff>
      <xdr:row>9</xdr:row>
      <xdr:rowOff>63306</xdr:rowOff>
    </xdr:from>
    <xdr:to>
      <xdr:col>7</xdr:col>
      <xdr:colOff>837475</xdr:colOff>
      <xdr:row>9</xdr:row>
      <xdr:rowOff>387306</xdr:rowOff>
    </xdr:to>
    <xdr:sp macro="" textlink="">
      <xdr:nvSpPr>
        <xdr:cNvPr id="14" name="Oval 13">
          <a:extLst>
            <a:ext uri="{FF2B5EF4-FFF2-40B4-BE49-F238E27FC236}">
              <a16:creationId xmlns:a16="http://schemas.microsoft.com/office/drawing/2014/main" id="{BB188417-46E8-48DA-989B-9231B2AB1D07}"/>
            </a:ext>
          </a:extLst>
        </xdr:cNvPr>
        <xdr:cNvSpPr/>
      </xdr:nvSpPr>
      <xdr:spPr>
        <a:xfrm>
          <a:off x="7631727" y="3446586"/>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475956</xdr:colOff>
      <xdr:row>9</xdr:row>
      <xdr:rowOff>67995</xdr:rowOff>
    </xdr:from>
    <xdr:to>
      <xdr:col>6</xdr:col>
      <xdr:colOff>799956</xdr:colOff>
      <xdr:row>9</xdr:row>
      <xdr:rowOff>391995</xdr:rowOff>
    </xdr:to>
    <xdr:sp macro="" textlink="">
      <xdr:nvSpPr>
        <xdr:cNvPr id="15" name="Oval 14">
          <a:extLst>
            <a:ext uri="{FF2B5EF4-FFF2-40B4-BE49-F238E27FC236}">
              <a16:creationId xmlns:a16="http://schemas.microsoft.com/office/drawing/2014/main" id="{CADD9C4D-6D83-483D-BB18-F1F4F167FC76}"/>
            </a:ext>
          </a:extLst>
        </xdr:cNvPr>
        <xdr:cNvSpPr/>
      </xdr:nvSpPr>
      <xdr:spPr>
        <a:xfrm>
          <a:off x="6278879" y="3451275"/>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466578</xdr:colOff>
      <xdr:row>9</xdr:row>
      <xdr:rowOff>65651</xdr:rowOff>
    </xdr:from>
    <xdr:to>
      <xdr:col>5</xdr:col>
      <xdr:colOff>790578</xdr:colOff>
      <xdr:row>9</xdr:row>
      <xdr:rowOff>389651</xdr:rowOff>
    </xdr:to>
    <xdr:sp macro="" textlink="">
      <xdr:nvSpPr>
        <xdr:cNvPr id="16" name="Oval 15">
          <a:extLst>
            <a:ext uri="{FF2B5EF4-FFF2-40B4-BE49-F238E27FC236}">
              <a16:creationId xmlns:a16="http://schemas.microsoft.com/office/drawing/2014/main" id="{00095E0F-1BC5-4D93-9E80-3F929A9333E3}"/>
            </a:ext>
          </a:extLst>
        </xdr:cNvPr>
        <xdr:cNvSpPr/>
      </xdr:nvSpPr>
      <xdr:spPr>
        <a:xfrm>
          <a:off x="4954172" y="3448931"/>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499405</xdr:colOff>
      <xdr:row>9</xdr:row>
      <xdr:rowOff>63306</xdr:rowOff>
    </xdr:from>
    <xdr:to>
      <xdr:col>4</xdr:col>
      <xdr:colOff>823405</xdr:colOff>
      <xdr:row>9</xdr:row>
      <xdr:rowOff>387306</xdr:rowOff>
    </xdr:to>
    <xdr:sp macro="" textlink="">
      <xdr:nvSpPr>
        <xdr:cNvPr id="17" name="Oval 16">
          <a:extLst>
            <a:ext uri="{FF2B5EF4-FFF2-40B4-BE49-F238E27FC236}">
              <a16:creationId xmlns:a16="http://schemas.microsoft.com/office/drawing/2014/main" id="{3705A37B-C7D7-4D4C-90D3-B270D5E23969}"/>
            </a:ext>
          </a:extLst>
        </xdr:cNvPr>
        <xdr:cNvSpPr/>
      </xdr:nvSpPr>
      <xdr:spPr>
        <a:xfrm>
          <a:off x="3671670" y="3446586"/>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471269</xdr:colOff>
      <xdr:row>4</xdr:row>
      <xdr:rowOff>84408</xdr:rowOff>
    </xdr:from>
    <xdr:to>
      <xdr:col>6</xdr:col>
      <xdr:colOff>795269</xdr:colOff>
      <xdr:row>4</xdr:row>
      <xdr:rowOff>408408</xdr:rowOff>
    </xdr:to>
    <xdr:sp macro="" textlink="">
      <xdr:nvSpPr>
        <xdr:cNvPr id="18" name="Oval 17">
          <a:extLst>
            <a:ext uri="{FF2B5EF4-FFF2-40B4-BE49-F238E27FC236}">
              <a16:creationId xmlns:a16="http://schemas.microsoft.com/office/drawing/2014/main" id="{BDB9ECCB-8203-4C46-8885-53F3D8928CF0}"/>
            </a:ext>
          </a:extLst>
        </xdr:cNvPr>
        <xdr:cNvSpPr/>
      </xdr:nvSpPr>
      <xdr:spPr>
        <a:xfrm>
          <a:off x="6337497" y="1371602"/>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497059</xdr:colOff>
      <xdr:row>4</xdr:row>
      <xdr:rowOff>82064</xdr:rowOff>
    </xdr:from>
    <xdr:to>
      <xdr:col>4</xdr:col>
      <xdr:colOff>821059</xdr:colOff>
      <xdr:row>4</xdr:row>
      <xdr:rowOff>406064</xdr:rowOff>
    </xdr:to>
    <xdr:sp macro="" textlink="">
      <xdr:nvSpPr>
        <xdr:cNvPr id="19" name="Oval 18">
          <a:extLst>
            <a:ext uri="{FF2B5EF4-FFF2-40B4-BE49-F238E27FC236}">
              <a16:creationId xmlns:a16="http://schemas.microsoft.com/office/drawing/2014/main" id="{65ED2507-E885-4867-8EAA-014A07D0EA29}"/>
            </a:ext>
          </a:extLst>
        </xdr:cNvPr>
        <xdr:cNvSpPr/>
      </xdr:nvSpPr>
      <xdr:spPr>
        <a:xfrm>
          <a:off x="3669324" y="1348156"/>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466579</xdr:colOff>
      <xdr:row>4</xdr:row>
      <xdr:rowOff>86752</xdr:rowOff>
    </xdr:from>
    <xdr:to>
      <xdr:col>5</xdr:col>
      <xdr:colOff>790579</xdr:colOff>
      <xdr:row>4</xdr:row>
      <xdr:rowOff>410752</xdr:rowOff>
    </xdr:to>
    <xdr:sp macro="" textlink="">
      <xdr:nvSpPr>
        <xdr:cNvPr id="20" name="Oval 19">
          <a:extLst>
            <a:ext uri="{FF2B5EF4-FFF2-40B4-BE49-F238E27FC236}">
              <a16:creationId xmlns:a16="http://schemas.microsoft.com/office/drawing/2014/main" id="{0F354B80-52D2-4587-A392-78CF4F47F10D}"/>
            </a:ext>
          </a:extLst>
        </xdr:cNvPr>
        <xdr:cNvSpPr/>
      </xdr:nvSpPr>
      <xdr:spPr>
        <a:xfrm>
          <a:off x="5017477" y="1373946"/>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464234</xdr:colOff>
      <xdr:row>5</xdr:row>
      <xdr:rowOff>84408</xdr:rowOff>
    </xdr:from>
    <xdr:to>
      <xdr:col>8</xdr:col>
      <xdr:colOff>788234</xdr:colOff>
      <xdr:row>5</xdr:row>
      <xdr:rowOff>408408</xdr:rowOff>
    </xdr:to>
    <xdr:sp macro="" textlink="">
      <xdr:nvSpPr>
        <xdr:cNvPr id="21" name="Oval 20">
          <a:extLst>
            <a:ext uri="{FF2B5EF4-FFF2-40B4-BE49-F238E27FC236}">
              <a16:creationId xmlns:a16="http://schemas.microsoft.com/office/drawing/2014/main" id="{BB891995-F4A8-4B77-95B7-E1C2B586DCF6}"/>
            </a:ext>
          </a:extLst>
        </xdr:cNvPr>
        <xdr:cNvSpPr/>
      </xdr:nvSpPr>
      <xdr:spPr>
        <a:xfrm>
          <a:off x="8897816" y="1638888"/>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518161</xdr:colOff>
      <xdr:row>5</xdr:row>
      <xdr:rowOff>82063</xdr:rowOff>
    </xdr:from>
    <xdr:to>
      <xdr:col>7</xdr:col>
      <xdr:colOff>842161</xdr:colOff>
      <xdr:row>5</xdr:row>
      <xdr:rowOff>406063</xdr:rowOff>
    </xdr:to>
    <xdr:sp macro="" textlink="">
      <xdr:nvSpPr>
        <xdr:cNvPr id="22" name="Oval 21">
          <a:extLst>
            <a:ext uri="{FF2B5EF4-FFF2-40B4-BE49-F238E27FC236}">
              <a16:creationId xmlns:a16="http://schemas.microsoft.com/office/drawing/2014/main" id="{E500D9F1-6D89-47BD-8D0D-B18BA60AC63C}"/>
            </a:ext>
          </a:extLst>
        </xdr:cNvPr>
        <xdr:cNvSpPr/>
      </xdr:nvSpPr>
      <xdr:spPr>
        <a:xfrm>
          <a:off x="7636413" y="1636543"/>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473613</xdr:colOff>
      <xdr:row>5</xdr:row>
      <xdr:rowOff>86752</xdr:rowOff>
    </xdr:from>
    <xdr:to>
      <xdr:col>6</xdr:col>
      <xdr:colOff>797613</xdr:colOff>
      <xdr:row>5</xdr:row>
      <xdr:rowOff>410752</xdr:rowOff>
    </xdr:to>
    <xdr:sp macro="" textlink="">
      <xdr:nvSpPr>
        <xdr:cNvPr id="23" name="Oval 22">
          <a:extLst>
            <a:ext uri="{FF2B5EF4-FFF2-40B4-BE49-F238E27FC236}">
              <a16:creationId xmlns:a16="http://schemas.microsoft.com/office/drawing/2014/main" id="{D5615728-CF50-44C3-8DC8-E8D2CC9A8AF6}"/>
            </a:ext>
          </a:extLst>
        </xdr:cNvPr>
        <xdr:cNvSpPr/>
      </xdr:nvSpPr>
      <xdr:spPr>
        <a:xfrm>
          <a:off x="6276536" y="1641232"/>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468924</xdr:colOff>
      <xdr:row>7</xdr:row>
      <xdr:rowOff>89095</xdr:rowOff>
    </xdr:from>
    <xdr:to>
      <xdr:col>8</xdr:col>
      <xdr:colOff>792924</xdr:colOff>
      <xdr:row>7</xdr:row>
      <xdr:rowOff>413095</xdr:rowOff>
    </xdr:to>
    <xdr:sp macro="" textlink="">
      <xdr:nvSpPr>
        <xdr:cNvPr id="25" name="Oval 24">
          <a:extLst>
            <a:ext uri="{FF2B5EF4-FFF2-40B4-BE49-F238E27FC236}">
              <a16:creationId xmlns:a16="http://schemas.microsoft.com/office/drawing/2014/main" id="{E403C8E5-FC8B-4610-841F-EBD946E349F2}"/>
            </a:ext>
          </a:extLst>
        </xdr:cNvPr>
        <xdr:cNvSpPr/>
      </xdr:nvSpPr>
      <xdr:spPr>
        <a:xfrm>
          <a:off x="8902506" y="2557975"/>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515817</xdr:colOff>
      <xdr:row>7</xdr:row>
      <xdr:rowOff>86752</xdr:rowOff>
    </xdr:from>
    <xdr:to>
      <xdr:col>7</xdr:col>
      <xdr:colOff>839817</xdr:colOff>
      <xdr:row>7</xdr:row>
      <xdr:rowOff>410752</xdr:rowOff>
    </xdr:to>
    <xdr:sp macro="" textlink="">
      <xdr:nvSpPr>
        <xdr:cNvPr id="26" name="Oval 25">
          <a:extLst>
            <a:ext uri="{FF2B5EF4-FFF2-40B4-BE49-F238E27FC236}">
              <a16:creationId xmlns:a16="http://schemas.microsoft.com/office/drawing/2014/main" id="{5BCCE391-92FE-4A2C-8200-459AB5ED0006}"/>
            </a:ext>
          </a:extLst>
        </xdr:cNvPr>
        <xdr:cNvSpPr/>
      </xdr:nvSpPr>
      <xdr:spPr>
        <a:xfrm>
          <a:off x="7634069" y="2555632"/>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513472</xdr:colOff>
      <xdr:row>6</xdr:row>
      <xdr:rowOff>70340</xdr:rowOff>
    </xdr:from>
    <xdr:to>
      <xdr:col>7</xdr:col>
      <xdr:colOff>837472</xdr:colOff>
      <xdr:row>6</xdr:row>
      <xdr:rowOff>394340</xdr:rowOff>
    </xdr:to>
    <xdr:sp macro="" textlink="">
      <xdr:nvSpPr>
        <xdr:cNvPr id="27" name="Oval 26">
          <a:extLst>
            <a:ext uri="{FF2B5EF4-FFF2-40B4-BE49-F238E27FC236}">
              <a16:creationId xmlns:a16="http://schemas.microsoft.com/office/drawing/2014/main" id="{B1418094-67AC-4A9D-AFB7-0B90C5162E0D}"/>
            </a:ext>
          </a:extLst>
        </xdr:cNvPr>
        <xdr:cNvSpPr/>
      </xdr:nvSpPr>
      <xdr:spPr>
        <a:xfrm>
          <a:off x="7631724" y="2082020"/>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468924</xdr:colOff>
      <xdr:row>4</xdr:row>
      <xdr:rowOff>82063</xdr:rowOff>
    </xdr:from>
    <xdr:to>
      <xdr:col>8</xdr:col>
      <xdr:colOff>792924</xdr:colOff>
      <xdr:row>4</xdr:row>
      <xdr:rowOff>406063</xdr:rowOff>
    </xdr:to>
    <xdr:sp macro="" textlink="">
      <xdr:nvSpPr>
        <xdr:cNvPr id="28" name="Oval 27">
          <a:extLst>
            <a:ext uri="{FF2B5EF4-FFF2-40B4-BE49-F238E27FC236}">
              <a16:creationId xmlns:a16="http://schemas.microsoft.com/office/drawing/2014/main" id="{528A18D7-1F3E-4A8A-B235-1541C852C640}"/>
            </a:ext>
          </a:extLst>
        </xdr:cNvPr>
        <xdr:cNvSpPr/>
      </xdr:nvSpPr>
      <xdr:spPr>
        <a:xfrm>
          <a:off x="8902506" y="1179343"/>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515817</xdr:colOff>
      <xdr:row>4</xdr:row>
      <xdr:rowOff>86752</xdr:rowOff>
    </xdr:from>
    <xdr:to>
      <xdr:col>7</xdr:col>
      <xdr:colOff>839817</xdr:colOff>
      <xdr:row>4</xdr:row>
      <xdr:rowOff>410752</xdr:rowOff>
    </xdr:to>
    <xdr:sp macro="" textlink="">
      <xdr:nvSpPr>
        <xdr:cNvPr id="29" name="Oval 28">
          <a:extLst>
            <a:ext uri="{FF2B5EF4-FFF2-40B4-BE49-F238E27FC236}">
              <a16:creationId xmlns:a16="http://schemas.microsoft.com/office/drawing/2014/main" id="{B44DFAC1-A828-4BDF-9950-FA6765096388}"/>
            </a:ext>
          </a:extLst>
        </xdr:cNvPr>
        <xdr:cNvSpPr/>
      </xdr:nvSpPr>
      <xdr:spPr>
        <a:xfrm>
          <a:off x="7697374" y="1373946"/>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464234</xdr:colOff>
      <xdr:row>6</xdr:row>
      <xdr:rowOff>77372</xdr:rowOff>
    </xdr:from>
    <xdr:to>
      <xdr:col>8</xdr:col>
      <xdr:colOff>788234</xdr:colOff>
      <xdr:row>6</xdr:row>
      <xdr:rowOff>401372</xdr:rowOff>
    </xdr:to>
    <xdr:sp macro="" textlink="">
      <xdr:nvSpPr>
        <xdr:cNvPr id="30" name="Oval 29">
          <a:extLst>
            <a:ext uri="{FF2B5EF4-FFF2-40B4-BE49-F238E27FC236}">
              <a16:creationId xmlns:a16="http://schemas.microsoft.com/office/drawing/2014/main" id="{EE9F9275-B367-430E-B8B9-97F822C1875D}"/>
            </a:ext>
          </a:extLst>
        </xdr:cNvPr>
        <xdr:cNvSpPr/>
      </xdr:nvSpPr>
      <xdr:spPr>
        <a:xfrm>
          <a:off x="8897816" y="2089052"/>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471268</xdr:colOff>
      <xdr:row>7</xdr:row>
      <xdr:rowOff>77374</xdr:rowOff>
    </xdr:from>
    <xdr:to>
      <xdr:col>6</xdr:col>
      <xdr:colOff>795268</xdr:colOff>
      <xdr:row>7</xdr:row>
      <xdr:rowOff>401374</xdr:rowOff>
    </xdr:to>
    <xdr:sp macro="" textlink="">
      <xdr:nvSpPr>
        <xdr:cNvPr id="31" name="Oval 30">
          <a:extLst>
            <a:ext uri="{FF2B5EF4-FFF2-40B4-BE49-F238E27FC236}">
              <a16:creationId xmlns:a16="http://schemas.microsoft.com/office/drawing/2014/main" id="{3431559D-CAE1-4005-BA3E-211A7D0557D2}"/>
            </a:ext>
          </a:extLst>
        </xdr:cNvPr>
        <xdr:cNvSpPr/>
      </xdr:nvSpPr>
      <xdr:spPr>
        <a:xfrm>
          <a:off x="6274191" y="2546254"/>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461890</xdr:colOff>
      <xdr:row>7</xdr:row>
      <xdr:rowOff>82062</xdr:rowOff>
    </xdr:from>
    <xdr:to>
      <xdr:col>5</xdr:col>
      <xdr:colOff>785890</xdr:colOff>
      <xdr:row>7</xdr:row>
      <xdr:rowOff>406062</xdr:rowOff>
    </xdr:to>
    <xdr:sp macro="" textlink="">
      <xdr:nvSpPr>
        <xdr:cNvPr id="32" name="Oval 31">
          <a:extLst>
            <a:ext uri="{FF2B5EF4-FFF2-40B4-BE49-F238E27FC236}">
              <a16:creationId xmlns:a16="http://schemas.microsoft.com/office/drawing/2014/main" id="{473721CC-F561-4EC9-AFA1-2A7D3D617374}"/>
            </a:ext>
          </a:extLst>
        </xdr:cNvPr>
        <xdr:cNvSpPr/>
      </xdr:nvSpPr>
      <xdr:spPr>
        <a:xfrm>
          <a:off x="4949484" y="2550942"/>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459544</xdr:colOff>
      <xdr:row>6</xdr:row>
      <xdr:rowOff>79718</xdr:rowOff>
    </xdr:from>
    <xdr:to>
      <xdr:col>5</xdr:col>
      <xdr:colOff>783544</xdr:colOff>
      <xdr:row>6</xdr:row>
      <xdr:rowOff>403718</xdr:rowOff>
    </xdr:to>
    <xdr:sp macro="" textlink="">
      <xdr:nvSpPr>
        <xdr:cNvPr id="33" name="Oval 32">
          <a:extLst>
            <a:ext uri="{FF2B5EF4-FFF2-40B4-BE49-F238E27FC236}">
              <a16:creationId xmlns:a16="http://schemas.microsoft.com/office/drawing/2014/main" id="{FEC06A2D-CF6B-4A32-9C48-D8749C77E30F}"/>
            </a:ext>
          </a:extLst>
        </xdr:cNvPr>
        <xdr:cNvSpPr/>
      </xdr:nvSpPr>
      <xdr:spPr>
        <a:xfrm>
          <a:off x="4947138" y="2091398"/>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471268</xdr:colOff>
      <xdr:row>6</xdr:row>
      <xdr:rowOff>70339</xdr:rowOff>
    </xdr:from>
    <xdr:to>
      <xdr:col>6</xdr:col>
      <xdr:colOff>795268</xdr:colOff>
      <xdr:row>6</xdr:row>
      <xdr:rowOff>394339</xdr:rowOff>
    </xdr:to>
    <xdr:sp macro="" textlink="">
      <xdr:nvSpPr>
        <xdr:cNvPr id="34" name="Oval 33">
          <a:extLst>
            <a:ext uri="{FF2B5EF4-FFF2-40B4-BE49-F238E27FC236}">
              <a16:creationId xmlns:a16="http://schemas.microsoft.com/office/drawing/2014/main" id="{CEA8950C-444F-4243-B01F-A50CF0DC0B7E}"/>
            </a:ext>
          </a:extLst>
        </xdr:cNvPr>
        <xdr:cNvSpPr/>
      </xdr:nvSpPr>
      <xdr:spPr>
        <a:xfrm>
          <a:off x="6274191" y="2082019"/>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518163</xdr:colOff>
      <xdr:row>8</xdr:row>
      <xdr:rowOff>75028</xdr:rowOff>
    </xdr:from>
    <xdr:to>
      <xdr:col>7</xdr:col>
      <xdr:colOff>842163</xdr:colOff>
      <xdr:row>8</xdr:row>
      <xdr:rowOff>399028</xdr:rowOff>
    </xdr:to>
    <xdr:sp macro="" textlink="">
      <xdr:nvSpPr>
        <xdr:cNvPr id="37" name="Oval 36">
          <a:extLst>
            <a:ext uri="{FF2B5EF4-FFF2-40B4-BE49-F238E27FC236}">
              <a16:creationId xmlns:a16="http://schemas.microsoft.com/office/drawing/2014/main" id="{16438BB9-E921-4C18-90B9-542AA7789873}"/>
            </a:ext>
          </a:extLst>
        </xdr:cNvPr>
        <xdr:cNvSpPr/>
      </xdr:nvSpPr>
      <xdr:spPr>
        <a:xfrm>
          <a:off x="7636415" y="3001108"/>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473614</xdr:colOff>
      <xdr:row>8</xdr:row>
      <xdr:rowOff>72683</xdr:rowOff>
    </xdr:from>
    <xdr:to>
      <xdr:col>6</xdr:col>
      <xdr:colOff>797614</xdr:colOff>
      <xdr:row>8</xdr:row>
      <xdr:rowOff>396683</xdr:rowOff>
    </xdr:to>
    <xdr:sp macro="" textlink="">
      <xdr:nvSpPr>
        <xdr:cNvPr id="38" name="Oval 37">
          <a:extLst>
            <a:ext uri="{FF2B5EF4-FFF2-40B4-BE49-F238E27FC236}">
              <a16:creationId xmlns:a16="http://schemas.microsoft.com/office/drawing/2014/main" id="{06C544FC-6162-4FA7-BCF8-0EEEF489C379}"/>
            </a:ext>
          </a:extLst>
        </xdr:cNvPr>
        <xdr:cNvSpPr/>
      </xdr:nvSpPr>
      <xdr:spPr>
        <a:xfrm>
          <a:off x="6276537" y="2998763"/>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464234</xdr:colOff>
      <xdr:row>8</xdr:row>
      <xdr:rowOff>77372</xdr:rowOff>
    </xdr:from>
    <xdr:to>
      <xdr:col>5</xdr:col>
      <xdr:colOff>788234</xdr:colOff>
      <xdr:row>8</xdr:row>
      <xdr:rowOff>401372</xdr:rowOff>
    </xdr:to>
    <xdr:sp macro="" textlink="">
      <xdr:nvSpPr>
        <xdr:cNvPr id="39" name="Oval 38">
          <a:extLst>
            <a:ext uri="{FF2B5EF4-FFF2-40B4-BE49-F238E27FC236}">
              <a16:creationId xmlns:a16="http://schemas.microsoft.com/office/drawing/2014/main" id="{F806D377-C318-46D2-965D-47B4924C5185}"/>
            </a:ext>
          </a:extLst>
        </xdr:cNvPr>
        <xdr:cNvSpPr/>
      </xdr:nvSpPr>
      <xdr:spPr>
        <a:xfrm>
          <a:off x="4951828" y="3003452"/>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511127</xdr:colOff>
      <xdr:row>8</xdr:row>
      <xdr:rowOff>67994</xdr:rowOff>
    </xdr:from>
    <xdr:to>
      <xdr:col>4</xdr:col>
      <xdr:colOff>835127</xdr:colOff>
      <xdr:row>8</xdr:row>
      <xdr:rowOff>391994</xdr:rowOff>
    </xdr:to>
    <xdr:sp macro="" textlink="">
      <xdr:nvSpPr>
        <xdr:cNvPr id="40" name="Oval 39">
          <a:extLst>
            <a:ext uri="{FF2B5EF4-FFF2-40B4-BE49-F238E27FC236}">
              <a16:creationId xmlns:a16="http://schemas.microsoft.com/office/drawing/2014/main" id="{BE2BD4E0-8249-4EEA-B627-967BC4578355}"/>
            </a:ext>
          </a:extLst>
        </xdr:cNvPr>
        <xdr:cNvSpPr/>
      </xdr:nvSpPr>
      <xdr:spPr>
        <a:xfrm>
          <a:off x="3683392" y="2994074"/>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466579</xdr:colOff>
      <xdr:row>8</xdr:row>
      <xdr:rowOff>72682</xdr:rowOff>
    </xdr:from>
    <xdr:to>
      <xdr:col>8</xdr:col>
      <xdr:colOff>790579</xdr:colOff>
      <xdr:row>8</xdr:row>
      <xdr:rowOff>396682</xdr:rowOff>
    </xdr:to>
    <xdr:sp macro="" textlink="">
      <xdr:nvSpPr>
        <xdr:cNvPr id="41" name="Oval 40">
          <a:extLst>
            <a:ext uri="{FF2B5EF4-FFF2-40B4-BE49-F238E27FC236}">
              <a16:creationId xmlns:a16="http://schemas.microsoft.com/office/drawing/2014/main" id="{E06F1D28-A9D5-41D1-8308-0B0005082580}"/>
            </a:ext>
          </a:extLst>
        </xdr:cNvPr>
        <xdr:cNvSpPr/>
      </xdr:nvSpPr>
      <xdr:spPr>
        <a:xfrm>
          <a:off x="8900161" y="2998762"/>
          <a:ext cx="324000" cy="32400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506436</xdr:colOff>
      <xdr:row>7</xdr:row>
      <xdr:rowOff>91439</xdr:rowOff>
    </xdr:from>
    <xdr:to>
      <xdr:col>4</xdr:col>
      <xdr:colOff>830436</xdr:colOff>
      <xdr:row>7</xdr:row>
      <xdr:rowOff>415439</xdr:rowOff>
    </xdr:to>
    <xdr:sp macro="" textlink="">
      <xdr:nvSpPr>
        <xdr:cNvPr id="46" name="Oval 45">
          <a:extLst>
            <a:ext uri="{FF2B5EF4-FFF2-40B4-BE49-F238E27FC236}">
              <a16:creationId xmlns:a16="http://schemas.microsoft.com/office/drawing/2014/main" id="{B1C89F7E-3C12-4D3F-BBA3-227CC4B53921}"/>
            </a:ext>
          </a:extLst>
        </xdr:cNvPr>
        <xdr:cNvSpPr/>
      </xdr:nvSpPr>
      <xdr:spPr>
        <a:xfrm>
          <a:off x="3678701" y="2560319"/>
          <a:ext cx="324000" cy="324000"/>
        </a:xfrm>
        <a:prstGeom prst="ellipse">
          <a:avLst/>
        </a:prstGeom>
        <a:solidFill>
          <a:srgbClr val="005C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527539</xdr:colOff>
      <xdr:row>2</xdr:row>
      <xdr:rowOff>77372</xdr:rowOff>
    </xdr:from>
    <xdr:to>
      <xdr:col>8</xdr:col>
      <xdr:colOff>1266092</xdr:colOff>
      <xdr:row>2</xdr:row>
      <xdr:rowOff>274321</xdr:rowOff>
    </xdr:to>
    <xdr:sp macro="" textlink="">
      <xdr:nvSpPr>
        <xdr:cNvPr id="47" name="TextBox 46">
          <a:extLst>
            <a:ext uri="{FF2B5EF4-FFF2-40B4-BE49-F238E27FC236}">
              <a16:creationId xmlns:a16="http://schemas.microsoft.com/office/drawing/2014/main" id="{32C663C0-9E53-FCC9-42DB-284B0D80F42F}"/>
            </a:ext>
          </a:extLst>
        </xdr:cNvPr>
        <xdr:cNvSpPr txBox="1"/>
      </xdr:nvSpPr>
      <xdr:spPr>
        <a:xfrm>
          <a:off x="9024425" y="443132"/>
          <a:ext cx="738553" cy="196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latin typeface="Aptos" panose="020B0004020202020204" pitchFamily="34" charset="0"/>
            </a:rPr>
            <a:t>FINOWISE</a:t>
          </a:r>
        </a:p>
      </xdr:txBody>
    </xdr:sp>
    <xdr:clientData/>
  </xdr:twoCellAnchor>
  <xdr:twoCellAnchor editAs="oneCell">
    <xdr:from>
      <xdr:col>1</xdr:col>
      <xdr:colOff>590844</xdr:colOff>
      <xdr:row>15</xdr:row>
      <xdr:rowOff>161779</xdr:rowOff>
    </xdr:from>
    <xdr:to>
      <xdr:col>9</xdr:col>
      <xdr:colOff>34220</xdr:colOff>
      <xdr:row>36</xdr:row>
      <xdr:rowOff>25728</xdr:rowOff>
    </xdr:to>
    <xdr:pic>
      <xdr:nvPicPr>
        <xdr:cNvPr id="48" name="Picture 47">
          <a:extLst>
            <a:ext uri="{FF2B5EF4-FFF2-40B4-BE49-F238E27FC236}">
              <a16:creationId xmlns:a16="http://schemas.microsoft.com/office/drawing/2014/main" id="{A1F6125C-D7BF-5D73-117F-FA184C056A12}"/>
            </a:ext>
          </a:extLst>
        </xdr:cNvPr>
        <xdr:cNvPicPr>
          <a:picLocks noChangeAspect="1"/>
        </xdr:cNvPicPr>
      </xdr:nvPicPr>
      <xdr:blipFill>
        <a:blip xmlns:r="http://schemas.openxmlformats.org/officeDocument/2006/relationships" r:embed="rId1"/>
        <a:stretch>
          <a:fillRect/>
        </a:stretch>
      </xdr:blipFill>
      <xdr:spPr>
        <a:xfrm>
          <a:off x="1209822" y="5106573"/>
          <a:ext cx="8636613" cy="3704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xxx@xxx.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2:R24"/>
  <sheetViews>
    <sheetView tabSelected="1" zoomScaleNormal="100" workbookViewId="0">
      <selection activeCell="Q5" sqref="Q5:R5"/>
    </sheetView>
  </sheetViews>
  <sheetFormatPr defaultColWidth="8.85546875" defaultRowHeight="14.45"/>
  <cols>
    <col min="1" max="16384" width="8.85546875" style="1"/>
  </cols>
  <sheetData>
    <row r="2">
      <c r="J2" s="392"/>
      <c r="K2" s="392"/>
      <c r="L2" s="392"/>
    </row>
    <row r="3">
      <c r="J3" s="392"/>
      <c r="K3" s="392"/>
      <c r="L3" s="392"/>
      <c r="P3" s="125" t="s">
        <v>0</v>
      </c>
      <c r="Q3" s="393" t="s">
        <v>1</v>
      </c>
      <c r="R3" s="394"/>
    </row>
    <row r="4">
      <c r="J4" s="392"/>
      <c r="K4" s="392"/>
      <c r="L4" s="392"/>
      <c r="P4" s="126" t="s">
        <v>2</v>
      </c>
      <c r="Q4" s="395" t="s">
        <v>3</v>
      </c>
      <c r="R4" s="396"/>
    </row>
    <row r="5">
      <c r="J5" s="392"/>
      <c r="K5" s="392"/>
      <c r="L5" s="392"/>
      <c r="P5" s="127" t="s">
        <v>4</v>
      </c>
      <c r="Q5" s="397"/>
      <c r="R5" s="398"/>
    </row>
    <row r="8">
      <c r="D8" s="389" t="s">
        <v>5</v>
      </c>
      <c r="E8" s="390"/>
      <c r="F8" s="390"/>
      <c r="G8" s="390"/>
      <c r="H8" s="390"/>
      <c r="I8" s="390"/>
      <c r="J8" s="390"/>
      <c r="K8" s="390"/>
      <c r="L8" s="390"/>
      <c r="M8" s="390"/>
      <c r="N8" s="390"/>
      <c r="O8" s="390"/>
      <c r="P8" s="390"/>
      <c r="Q8" s="390"/>
      <c r="R8" s="390"/>
    </row>
    <row r="9">
      <c r="D9" s="390"/>
      <c r="E9" s="390"/>
      <c r="F9" s="390"/>
      <c r="G9" s="390"/>
      <c r="H9" s="390"/>
      <c r="I9" s="390"/>
      <c r="J9" s="390"/>
      <c r="K9" s="390"/>
      <c r="L9" s="390"/>
      <c r="M9" s="390"/>
      <c r="N9" s="390"/>
      <c r="O9" s="390"/>
      <c r="P9" s="390"/>
      <c r="Q9" s="390"/>
      <c r="R9" s="390"/>
    </row>
    <row r="10">
      <c r="D10" s="390"/>
      <c r="E10" s="390"/>
      <c r="F10" s="390"/>
      <c r="G10" s="390"/>
      <c r="H10" s="390"/>
      <c r="I10" s="390"/>
      <c r="J10" s="390"/>
      <c r="K10" s="390"/>
      <c r="L10" s="390"/>
      <c r="M10" s="390"/>
      <c r="N10" s="390"/>
      <c r="O10" s="390"/>
      <c r="P10" s="390"/>
      <c r="Q10" s="390"/>
      <c r="R10" s="390"/>
    </row>
    <row r="11">
      <c r="D11" s="390"/>
      <c r="E11" s="390"/>
      <c r="F11" s="390"/>
      <c r="G11" s="390"/>
      <c r="H11" s="390"/>
      <c r="I11" s="390"/>
      <c r="J11" s="390"/>
      <c r="K11" s="390"/>
      <c r="L11" s="390"/>
      <c r="M11" s="390"/>
      <c r="N11" s="390"/>
      <c r="O11" s="390"/>
      <c r="P11" s="390"/>
      <c r="Q11" s="390"/>
      <c r="R11" s="390"/>
    </row>
    <row r="12">
      <c r="D12" s="390"/>
      <c r="E12" s="390"/>
      <c r="F12" s="390"/>
      <c r="G12" s="390"/>
      <c r="H12" s="390"/>
      <c r="I12" s="390"/>
      <c r="J12" s="390"/>
      <c r="K12" s="390"/>
      <c r="L12" s="390"/>
      <c r="M12" s="390"/>
      <c r="N12" s="390"/>
      <c r="O12" s="390"/>
      <c r="P12" s="390"/>
      <c r="Q12" s="390"/>
      <c r="R12" s="390"/>
    </row>
    <row r="13">
      <c r="D13" s="390"/>
      <c r="E13" s="390"/>
      <c r="F13" s="390"/>
      <c r="G13" s="390"/>
      <c r="H13" s="390"/>
      <c r="I13" s="390"/>
      <c r="J13" s="390"/>
      <c r="K13" s="390"/>
      <c r="L13" s="390"/>
      <c r="M13" s="390"/>
      <c r="N13" s="390"/>
      <c r="O13" s="390"/>
      <c r="P13" s="390"/>
      <c r="Q13" s="390"/>
      <c r="R13" s="390"/>
    </row>
    <row r="14">
      <c r="D14" s="390"/>
      <c r="E14" s="390"/>
      <c r="F14" s="390"/>
      <c r="G14" s="390"/>
      <c r="H14" s="390"/>
      <c r="I14" s="390"/>
      <c r="J14" s="390"/>
      <c r="K14" s="390"/>
      <c r="L14" s="390"/>
      <c r="M14" s="390"/>
      <c r="N14" s="390"/>
      <c r="O14" s="390"/>
      <c r="P14" s="390"/>
      <c r="Q14" s="390"/>
      <c r="R14" s="390"/>
    </row>
    <row r="15">
      <c r="D15" s="390"/>
      <c r="E15" s="390"/>
      <c r="F15" s="390"/>
      <c r="G15" s="390"/>
      <c r="H15" s="390"/>
      <c r="I15" s="390"/>
      <c r="J15" s="390"/>
      <c r="K15" s="390"/>
      <c r="L15" s="390"/>
      <c r="M15" s="390"/>
      <c r="N15" s="390"/>
      <c r="O15" s="390"/>
      <c r="P15" s="390"/>
      <c r="Q15" s="390"/>
      <c r="R15" s="390"/>
    </row>
    <row r="17" ht="14.45" customHeight="1">
      <c r="D17" s="391" t="inlineStr">
        <is>
          <t xml:space="preserve">CLIENT NAME</t>
        </is>
      </c>
      <c r="E17" s="391"/>
      <c r="F17" s="391"/>
      <c r="G17" s="391"/>
      <c r="H17" s="391"/>
      <c r="I17" s="391"/>
      <c r="J17" s="391"/>
      <c r="K17" s="391"/>
      <c r="L17" s="391"/>
      <c r="M17" s="391"/>
      <c r="N17" s="391"/>
      <c r="O17" s="391"/>
      <c r="P17" s="391"/>
      <c r="Q17" s="391"/>
      <c r="R17" s="391"/>
    </row>
    <row r="18" ht="14.45" customHeight="1">
      <c r="D18" s="391"/>
      <c r="E18" s="391"/>
      <c r="F18" s="391"/>
      <c r="G18" s="391"/>
      <c r="H18" s="391"/>
      <c r="I18" s="391"/>
      <c r="J18" s="391"/>
      <c r="K18" s="391"/>
      <c r="L18" s="391"/>
      <c r="M18" s="391"/>
      <c r="N18" s="391"/>
      <c r="O18" s="391"/>
      <c r="P18" s="391"/>
      <c r="Q18" s="391"/>
      <c r="R18" s="391"/>
    </row>
    <row r="19" ht="14.45" customHeight="1">
      <c r="D19" s="391"/>
      <c r="E19" s="391"/>
      <c r="F19" s="391"/>
      <c r="G19" s="391"/>
      <c r="H19" s="391"/>
      <c r="I19" s="391"/>
      <c r="J19" s="391"/>
      <c r="K19" s="391"/>
      <c r="L19" s="391"/>
      <c r="M19" s="391"/>
      <c r="N19" s="391"/>
      <c r="O19" s="391"/>
      <c r="P19" s="391"/>
      <c r="Q19" s="391"/>
      <c r="R19" s="391"/>
    </row>
    <row r="20" ht="14.45" customHeight="1">
      <c r="D20" s="391"/>
      <c r="E20" s="391"/>
      <c r="F20" s="391"/>
      <c r="G20" s="391"/>
      <c r="H20" s="391"/>
      <c r="I20" s="391"/>
      <c r="J20" s="391"/>
      <c r="K20" s="391"/>
      <c r="L20" s="391"/>
      <c r="M20" s="391"/>
      <c r="N20" s="391"/>
      <c r="O20" s="391"/>
      <c r="P20" s="391"/>
      <c r="Q20" s="391"/>
      <c r="R20" s="391"/>
    </row>
    <row r="21" ht="14.45" customHeight="1">
      <c r="D21" s="391"/>
      <c r="E21" s="391"/>
      <c r="F21" s="391"/>
      <c r="G21" s="391"/>
      <c r="H21" s="391"/>
      <c r="I21" s="391"/>
      <c r="J21" s="391"/>
      <c r="K21" s="391"/>
      <c r="L21" s="391"/>
      <c r="M21" s="391"/>
      <c r="N21" s="391"/>
      <c r="O21" s="391"/>
      <c r="P21" s="391"/>
      <c r="Q21" s="391"/>
      <c r="R21" s="391"/>
    </row>
    <row r="22" ht="14.45" customHeight="1">
      <c r="D22" s="391"/>
      <c r="E22" s="391"/>
      <c r="F22" s="391"/>
      <c r="G22" s="391"/>
      <c r="H22" s="391"/>
      <c r="I22" s="391"/>
      <c r="J22" s="391"/>
      <c r="K22" s="391"/>
      <c r="L22" s="391"/>
      <c r="M22" s="391"/>
      <c r="N22" s="391"/>
      <c r="O22" s="391"/>
      <c r="P22" s="391"/>
      <c r="Q22" s="391"/>
      <c r="R22" s="391"/>
    </row>
    <row r="23" ht="14.45" customHeight="1">
      <c r="D23" s="391"/>
      <c r="E23" s="391"/>
      <c r="F23" s="391"/>
      <c r="G23" s="391"/>
      <c r="H23" s="391"/>
      <c r="I23" s="391"/>
      <c r="J23" s="391"/>
      <c r="K23" s="391"/>
      <c r="L23" s="391"/>
      <c r="M23" s="391"/>
      <c r="N23" s="391"/>
      <c r="O23" s="391"/>
      <c r="P23" s="391"/>
      <c r="Q23" s="391"/>
      <c r="R23" s="391"/>
    </row>
    <row r="24" ht="14.45" customHeight="1">
      <c r="D24" s="391"/>
      <c r="E24" s="391"/>
      <c r="F24" s="391"/>
      <c r="G24" s="391"/>
      <c r="H24" s="391"/>
      <c r="I24" s="391"/>
      <c r="J24" s="391"/>
      <c r="K24" s="391"/>
      <c r="L24" s="391"/>
      <c r="M24" s="391"/>
      <c r="N24" s="391"/>
      <c r="O24" s="391"/>
      <c r="P24" s="391"/>
      <c r="Q24" s="391"/>
      <c r="R24" s="391"/>
    </row>
  </sheetData>
  <sheetProtection selectLockedCells="1"/>
  <mergeCells count="6">
    <mergeCell ref="D8:R15"/>
    <mergeCell ref="D17:R24"/>
    <mergeCell ref="J2:L5"/>
    <mergeCell ref="Q3:R3"/>
    <mergeCell ref="Q4:R4"/>
    <mergeCell ref="Q5:R5"/>
  </mergeCells>
  <printOptions horizontalCentered="1"/>
  <pageMargins left="0.19685039370078741" right="0.19685039370078741" top="0.74803149606299213" bottom="0.74803149606299213" header="0.31496062992125984" footer="0.31496062992125984"/>
  <pageSetup scale="7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992"/>
  <sheetViews>
    <sheetView workbookViewId="0">
      <selection activeCell="M9" sqref="M9"/>
    </sheetView>
  </sheetViews>
  <sheetFormatPr defaultRowHeight="14.45"/>
  <cols>
    <col min="1" max="1" width="8.85546875" style="1"/>
    <col min="2" max="2" width="17.85546875" customWidth="1"/>
    <col min="3" max="3" width="1.28515625" hidden="1" customWidth="1"/>
    <col min="4" max="4" width="26.42578125" customWidth="1"/>
    <col min="5" max="5" width="15.7109375" customWidth="1"/>
    <col min="6" max="12" width="12.7109375" customWidth="1"/>
    <col min="13" max="44" width="8.85546875" style="1"/>
  </cols>
  <sheetData>
    <row r="1" s="1" customFormat="1"/>
    <row r="2" ht="15.6">
      <c r="B2" s="402" t="s">
        <v>7</v>
      </c>
      <c r="C2" s="28"/>
      <c r="D2" s="403" t="s">
        <v>8</v>
      </c>
      <c r="E2" s="404"/>
      <c r="F2" s="404"/>
      <c r="G2" s="405"/>
      <c r="H2" s="409">
        <f>'1'!$D$17</f>
      </c>
      <c r="I2" s="410"/>
      <c r="J2" s="410"/>
      <c r="K2" s="410"/>
      <c r="L2" s="411"/>
    </row>
    <row r="3" ht="15.6">
      <c r="B3" s="402"/>
      <c r="C3" s="28"/>
      <c r="D3" s="406"/>
      <c r="E3" s="407"/>
      <c r="F3" s="407"/>
      <c r="G3" s="408"/>
      <c r="H3" s="412"/>
      <c r="I3" s="413"/>
      <c r="J3" s="413"/>
      <c r="K3" s="413"/>
      <c r="L3" s="414"/>
    </row>
    <row r="4" s="1" customFormat="1"/>
    <row r="5">
      <c r="B5" s="1"/>
      <c r="C5" s="1"/>
      <c r="D5" s="1"/>
      <c r="E5" s="1"/>
      <c r="F5" s="1"/>
      <c r="G5" s="1"/>
      <c r="H5" s="415" t="s">
        <v>9</v>
      </c>
      <c r="I5" s="415"/>
      <c r="J5" s="415"/>
      <c r="K5" s="415"/>
      <c r="L5" s="415"/>
    </row>
    <row r="6">
      <c r="B6" s="1"/>
      <c r="C6" s="1"/>
      <c r="D6" s="1"/>
      <c r="E6" s="1"/>
      <c r="F6" s="1"/>
      <c r="G6" s="1"/>
      <c r="H6" s="415"/>
      <c r="I6" s="415"/>
      <c r="J6" s="415"/>
      <c r="K6" s="415"/>
      <c r="L6" s="415"/>
    </row>
    <row r="7">
      <c r="B7" s="1"/>
      <c r="C7" s="1"/>
      <c r="D7" s="1"/>
      <c r="E7" s="1"/>
      <c r="F7" s="1"/>
      <c r="G7" s="1"/>
      <c r="H7" s="415"/>
      <c r="I7" s="415"/>
      <c r="J7" s="415"/>
      <c r="K7" s="415"/>
      <c r="L7" s="415"/>
    </row>
    <row r="8">
      <c r="B8" s="1"/>
      <c r="C8" s="1"/>
      <c r="D8" s="1"/>
      <c r="E8" s="1"/>
      <c r="F8" s="1"/>
      <c r="G8" s="1"/>
      <c r="H8" s="415"/>
      <c r="I8" s="415"/>
      <c r="J8" s="415"/>
      <c r="K8" s="415"/>
      <c r="L8" s="415"/>
    </row>
    <row r="9">
      <c r="B9" s="1"/>
      <c r="C9" s="1"/>
      <c r="D9" s="1"/>
      <c r="E9" s="1"/>
      <c r="F9" s="1"/>
      <c r="G9" s="1"/>
      <c r="H9" s="415"/>
      <c r="I9" s="415"/>
      <c r="J9" s="415"/>
      <c r="K9" s="415"/>
      <c r="L9" s="415"/>
    </row>
    <row r="10">
      <c r="B10" s="1"/>
      <c r="C10" s="1"/>
      <c r="D10" s="1"/>
      <c r="E10" s="1"/>
      <c r="F10" s="1"/>
      <c r="G10" s="1"/>
      <c r="H10" s="415"/>
      <c r="I10" s="415"/>
      <c r="J10" s="415"/>
      <c r="K10" s="415"/>
      <c r="L10" s="415"/>
    </row>
    <row r="11">
      <c r="B11" s="1"/>
      <c r="C11" s="1"/>
      <c r="D11" s="1"/>
      <c r="E11" s="1"/>
      <c r="F11" s="1"/>
      <c r="G11" s="1"/>
      <c r="H11" s="399">
        <f>INDEX('Portfolio Journey'!B125:T127,MATCH('Portfolio Journey'!FB125,'Portfolio Journey'!B125:B127,0),MATCH('Freedom Blueprint'!AA8,'Portfolio Journey'!B5:T5,0))</f>
      </c>
      <c r="I11" s="399"/>
      <c r="J11" s="399"/>
      <c r="K11" s="399"/>
      <c r="L11" s="399"/>
    </row>
    <row r="12">
      <c r="B12" s="1"/>
      <c r="C12" s="1"/>
      <c r="D12" s="1"/>
      <c r="E12" s="1"/>
      <c r="F12" s="1"/>
      <c r="G12" s="1"/>
      <c r="H12" s="399"/>
      <c r="I12" s="399"/>
      <c r="J12" s="399"/>
      <c r="K12" s="399"/>
      <c r="L12" s="399"/>
    </row>
    <row r="13">
      <c r="B13" s="1"/>
      <c r="C13" s="1"/>
      <c r="D13" s="1"/>
      <c r="E13" s="1"/>
      <c r="F13" s="1"/>
      <c r="G13" s="1"/>
      <c r="H13" s="399"/>
      <c r="I13" s="399"/>
      <c r="J13" s="399"/>
      <c r="K13" s="399"/>
      <c r="L13" s="399"/>
    </row>
    <row r="14">
      <c r="B14" s="1"/>
      <c r="C14" s="1"/>
      <c r="D14" s="1"/>
      <c r="E14" s="1"/>
      <c r="F14" s="1"/>
      <c r="G14" s="1"/>
      <c r="H14" s="399"/>
      <c r="I14" s="399"/>
      <c r="J14" s="399"/>
      <c r="K14" s="399"/>
      <c r="L14" s="399"/>
    </row>
    <row r="15">
      <c r="B15" s="1"/>
      <c r="C15" s="1"/>
      <c r="D15" s="1"/>
      <c r="E15" s="1"/>
      <c r="F15" s="1"/>
      <c r="G15" s="1"/>
      <c r="H15" s="399"/>
      <c r="I15" s="399"/>
      <c r="J15" s="399"/>
      <c r="K15" s="399"/>
      <c r="L15" s="399"/>
    </row>
    <row r="16">
      <c r="B16" s="1"/>
      <c r="C16" s="1"/>
      <c r="D16" s="1"/>
      <c r="E16" s="1"/>
      <c r="F16" s="1"/>
      <c r="G16" s="1"/>
      <c r="H16" s="399"/>
      <c r="I16" s="399"/>
      <c r="J16" s="399"/>
      <c r="K16" s="399"/>
      <c r="L16" s="399"/>
    </row>
    <row r="17" ht="5.65" customHeight="1">
      <c r="B17" s="1"/>
      <c r="C17" s="1"/>
      <c r="D17" s="1"/>
      <c r="E17" s="1"/>
      <c r="F17" s="1"/>
      <c r="G17" s="1"/>
      <c r="H17" s="159"/>
      <c r="I17" s="159"/>
      <c r="J17" s="159"/>
      <c r="K17" s="159"/>
      <c r="L17" s="159"/>
    </row>
    <row r="18">
      <c r="B18" s="30"/>
      <c r="C18" s="30"/>
      <c r="D18" s="30"/>
      <c r="E18" s="30"/>
      <c r="F18" s="30"/>
      <c r="G18" s="30"/>
      <c r="H18" s="400" t="s">
        <v>10</v>
      </c>
      <c r="I18" s="400"/>
      <c r="J18" s="400"/>
      <c r="K18" s="400"/>
      <c r="L18" s="400"/>
    </row>
    <row r="19">
      <c r="B19" s="1"/>
      <c r="C19" s="1"/>
      <c r="D19" s="1"/>
      <c r="E19" s="1"/>
      <c r="F19" s="1"/>
      <c r="G19" s="1"/>
      <c r="H19" s="400"/>
      <c r="I19" s="400"/>
      <c r="J19" s="400"/>
      <c r="K19" s="400"/>
      <c r="L19" s="400"/>
    </row>
    <row r="20">
      <c r="B20" s="1"/>
      <c r="C20" s="1"/>
      <c r="D20" s="1"/>
      <c r="E20" s="1"/>
      <c r="F20" s="1"/>
      <c r="G20" s="1"/>
      <c r="H20" s="400"/>
      <c r="I20" s="400"/>
      <c r="J20" s="400"/>
      <c r="K20" s="400"/>
      <c r="L20" s="400"/>
    </row>
    <row r="21">
      <c r="B21" s="1"/>
      <c r="C21" s="1"/>
      <c r="D21" s="1"/>
      <c r="E21" s="1"/>
      <c r="F21" s="1"/>
      <c r="G21" s="1"/>
      <c r="H21" s="400"/>
      <c r="I21" s="400"/>
      <c r="J21" s="400"/>
      <c r="K21" s="400"/>
      <c r="L21" s="400"/>
    </row>
    <row r="22">
      <c r="B22" s="1"/>
      <c r="C22" s="1"/>
      <c r="D22" s="1"/>
      <c r="E22" s="1"/>
      <c r="F22" s="1"/>
      <c r="G22" s="1"/>
      <c r="H22" s="400"/>
      <c r="I22" s="400"/>
      <c r="J22" s="400"/>
      <c r="K22" s="400"/>
      <c r="L22" s="400"/>
    </row>
    <row r="23">
      <c r="B23" s="1"/>
      <c r="C23" s="1"/>
      <c r="D23" s="1"/>
      <c r="E23" s="1"/>
      <c r="F23" s="1"/>
      <c r="G23" s="1"/>
      <c r="H23" s="400"/>
      <c r="I23" s="400"/>
      <c r="J23" s="400"/>
      <c r="K23" s="400"/>
      <c r="L23" s="400"/>
    </row>
    <row r="24">
      <c r="B24" s="1"/>
      <c r="C24" s="1"/>
      <c r="D24" s="1"/>
      <c r="E24" s="1"/>
      <c r="F24" s="1"/>
      <c r="G24" s="1"/>
      <c r="H24" s="401">
        <f>INDEX('Portfolio Journey'!B125:T127,MATCH('Portfolio Journey'!FB126,'Portfolio Journey'!B125:B127,0),MATCH('Freedom Blueprint'!AA8,'Portfolio Journey'!B5:T5,0))</f>
      </c>
      <c r="I24" s="401"/>
      <c r="J24" s="401"/>
      <c r="K24" s="401"/>
      <c r="L24" s="401"/>
    </row>
    <row r="25">
      <c r="B25" s="1"/>
      <c r="C25" s="1"/>
      <c r="D25" s="1"/>
      <c r="E25" s="1"/>
      <c r="F25" s="1"/>
      <c r="G25" s="1"/>
      <c r="H25" s="401"/>
      <c r="I25" s="401"/>
      <c r="J25" s="401"/>
      <c r="K25" s="401"/>
      <c r="L25" s="401"/>
    </row>
    <row r="26">
      <c r="B26" s="1"/>
      <c r="C26" s="1"/>
      <c r="D26" s="1"/>
      <c r="E26" s="1"/>
      <c r="F26" s="1"/>
      <c r="G26" s="1"/>
      <c r="H26" s="401"/>
      <c r="I26" s="401"/>
      <c r="J26" s="401"/>
      <c r="K26" s="401"/>
      <c r="L26" s="401"/>
    </row>
    <row r="27">
      <c r="B27" s="1"/>
      <c r="C27" s="1"/>
      <c r="D27" s="1"/>
      <c r="E27" s="1"/>
      <c r="F27" s="1"/>
      <c r="G27" s="1"/>
      <c r="H27" s="401"/>
      <c r="I27" s="401"/>
      <c r="J27" s="401"/>
      <c r="K27" s="401"/>
      <c r="L27" s="401"/>
    </row>
    <row r="28">
      <c r="B28" s="1"/>
      <c r="C28" s="1"/>
      <c r="D28" s="1"/>
      <c r="E28" s="1"/>
      <c r="F28" s="1"/>
      <c r="G28" s="1"/>
      <c r="H28" s="401"/>
      <c r="I28" s="401"/>
      <c r="J28" s="401"/>
      <c r="K28" s="401"/>
      <c r="L28" s="401"/>
    </row>
    <row r="29">
      <c r="B29" s="1"/>
      <c r="C29" s="1"/>
      <c r="D29" s="1"/>
      <c r="E29" s="1"/>
      <c r="F29" s="1"/>
      <c r="G29" s="1"/>
      <c r="H29" s="401"/>
      <c r="I29" s="401"/>
      <c r="J29" s="401"/>
      <c r="K29" s="401"/>
      <c r="L29" s="401"/>
    </row>
    <row r="30">
      <c r="B30" s="1"/>
      <c r="C30" s="1"/>
      <c r="D30" s="1"/>
      <c r="E30" s="1"/>
      <c r="F30" s="1"/>
      <c r="G30" s="1"/>
      <c r="H30" s="1"/>
      <c r="I30" s="1"/>
      <c r="J30" s="1"/>
      <c r="K30" s="1"/>
      <c r="L30" s="1"/>
    </row>
    <row r="31">
      <c r="B31" s="1"/>
      <c r="C31" s="1"/>
      <c r="D31" s="1"/>
      <c r="E31" s="1"/>
      <c r="F31" s="1"/>
      <c r="G31" s="1"/>
      <c r="H31" s="1"/>
      <c r="I31" s="1"/>
      <c r="J31" s="1"/>
      <c r="K31" s="1"/>
      <c r="L31" s="1"/>
    </row>
    <row r="32">
      <c r="B32" s="1"/>
      <c r="C32" s="1"/>
      <c r="D32" s="1"/>
      <c r="E32" s="1"/>
      <c r="F32" s="1"/>
      <c r="G32" s="1"/>
      <c r="H32" s="1"/>
      <c r="I32" s="1"/>
      <c r="J32" s="1"/>
      <c r="K32" s="1"/>
      <c r="L32" s="1"/>
    </row>
    <row r="33">
      <c r="B33" s="1"/>
      <c r="C33" s="1"/>
      <c r="D33" s="1"/>
      <c r="E33" s="1"/>
      <c r="F33" s="1"/>
      <c r="G33" s="1"/>
      <c r="H33" s="1"/>
      <c r="I33" s="1"/>
      <c r="J33" s="1"/>
      <c r="K33" s="1"/>
      <c r="L33" s="1"/>
    </row>
    <row r="34">
      <c r="B34" s="1"/>
      <c r="C34" s="1"/>
      <c r="D34" s="1"/>
      <c r="E34" s="1"/>
      <c r="F34" s="1"/>
      <c r="G34" s="1"/>
      <c r="H34" s="1"/>
      <c r="I34" s="1"/>
      <c r="J34" s="1"/>
      <c r="K34" s="1"/>
      <c r="L34" s="1"/>
    </row>
    <row r="35">
      <c r="B35" s="1"/>
      <c r="C35" s="1"/>
      <c r="D35" s="1"/>
      <c r="E35" s="1"/>
      <c r="F35" s="1"/>
      <c r="G35" s="1"/>
      <c r="H35" s="1"/>
      <c r="I35" s="1"/>
      <c r="J35" s="1"/>
      <c r="K35" s="1"/>
      <c r="L35" s="1"/>
    </row>
    <row r="36">
      <c r="B36" s="1"/>
      <c r="C36" s="1"/>
      <c r="D36" s="1"/>
      <c r="E36" s="1"/>
      <c r="F36" s="1"/>
      <c r="G36" s="1"/>
      <c r="H36" s="1"/>
      <c r="I36" s="1"/>
      <c r="J36" s="1"/>
      <c r="K36" s="1"/>
      <c r="L36" s="1"/>
    </row>
    <row r="37">
      <c r="B37" s="1"/>
      <c r="C37" s="1"/>
      <c r="D37" s="1"/>
      <c r="E37" s="1"/>
      <c r="F37" s="1"/>
      <c r="G37" s="1"/>
      <c r="H37" s="1"/>
      <c r="I37" s="1"/>
      <c r="J37" s="1"/>
      <c r="K37" s="1"/>
      <c r="L37" s="1"/>
    </row>
    <row r="38">
      <c r="B38" s="1"/>
      <c r="C38" s="1"/>
      <c r="D38" s="1"/>
      <c r="E38" s="1"/>
      <c r="F38" s="1"/>
      <c r="G38" s="1"/>
      <c r="H38" s="1"/>
      <c r="I38" s="1"/>
      <c r="J38" s="1"/>
      <c r="K38" s="1"/>
      <c r="L38" s="1"/>
    </row>
    <row r="39">
      <c r="B39" s="1"/>
      <c r="C39" s="1"/>
      <c r="D39" s="1"/>
      <c r="E39" s="1"/>
      <c r="F39" s="1"/>
      <c r="G39" s="1"/>
      <c r="H39" s="1"/>
      <c r="I39" s="1"/>
      <c r="J39" s="1"/>
      <c r="K39" s="1"/>
      <c r="L39" s="1"/>
    </row>
    <row r="40">
      <c r="B40" s="1"/>
      <c r="C40" s="1"/>
      <c r="D40" s="1"/>
      <c r="E40" s="1"/>
      <c r="F40" s="1"/>
      <c r="G40" s="1"/>
      <c r="H40" s="1"/>
      <c r="I40" s="1"/>
      <c r="J40" s="1"/>
      <c r="K40" s="1"/>
      <c r="L40" s="1"/>
    </row>
    <row r="41">
      <c r="B41" s="1"/>
      <c r="C41" s="1"/>
      <c r="D41" s="1"/>
      <c r="E41" s="1"/>
      <c r="F41" s="1"/>
      <c r="G41" s="1"/>
      <c r="H41" s="1"/>
      <c r="I41" s="1"/>
      <c r="J41" s="1"/>
      <c r="K41" s="1"/>
      <c r="L41" s="1"/>
    </row>
    <row r="42">
      <c r="B42" s="1"/>
      <c r="C42" s="1"/>
      <c r="D42" s="1"/>
      <c r="E42" s="1"/>
      <c r="F42" s="1"/>
      <c r="G42" s="1"/>
      <c r="H42" s="1"/>
      <c r="I42" s="1"/>
      <c r="J42" s="1"/>
      <c r="K42" s="1"/>
      <c r="L42" s="1"/>
    </row>
    <row r="43">
      <c r="B43" s="1"/>
      <c r="C43" s="1"/>
      <c r="D43" s="1"/>
      <c r="E43" s="1"/>
      <c r="F43" s="1"/>
      <c r="G43" s="1"/>
      <c r="H43" s="1"/>
      <c r="I43" s="1"/>
      <c r="J43" s="1"/>
      <c r="K43" s="1"/>
      <c r="L43" s="1"/>
    </row>
    <row r="44">
      <c r="B44" s="1"/>
      <c r="C44" s="1"/>
      <c r="D44" s="1"/>
      <c r="E44" s="1"/>
      <c r="F44" s="1"/>
      <c r="G44" s="1"/>
      <c r="H44" s="1"/>
      <c r="I44" s="1"/>
      <c r="J44" s="1"/>
      <c r="K44" s="1"/>
      <c r="L44" s="1"/>
    </row>
    <row r="45">
      <c r="B45" s="1"/>
      <c r="C45" s="1"/>
      <c r="D45" s="1"/>
      <c r="E45" s="1"/>
      <c r="F45" s="1"/>
      <c r="G45" s="1"/>
      <c r="H45" s="1"/>
      <c r="I45" s="1"/>
      <c r="J45" s="1"/>
      <c r="K45" s="1"/>
      <c r="L45" s="1"/>
    </row>
    <row r="46">
      <c r="B46" s="1"/>
      <c r="C46" s="1"/>
      <c r="D46" s="1"/>
      <c r="E46" s="1"/>
      <c r="F46" s="1"/>
      <c r="G46" s="1"/>
      <c r="H46" s="1"/>
      <c r="I46" s="1"/>
      <c r="J46" s="1"/>
      <c r="K46" s="1"/>
      <c r="L46" s="1"/>
    </row>
    <row r="47">
      <c r="B47" s="1"/>
      <c r="C47" s="1"/>
      <c r="D47" s="1"/>
      <c r="E47" s="1"/>
      <c r="F47" s="1"/>
      <c r="G47" s="1"/>
      <c r="H47" s="1"/>
      <c r="I47" s="1"/>
      <c r="J47" s="1"/>
      <c r="K47" s="1"/>
      <c r="L47" s="1"/>
    </row>
    <row r="48">
      <c r="B48" s="1"/>
      <c r="C48" s="1"/>
      <c r="D48" s="1"/>
      <c r="E48" s="1"/>
      <c r="F48" s="1"/>
      <c r="G48" s="1"/>
      <c r="H48" s="1"/>
      <c r="I48" s="1"/>
      <c r="J48" s="1"/>
      <c r="K48" s="1"/>
      <c r="L48" s="1"/>
    </row>
    <row r="49">
      <c r="B49" s="1"/>
      <c r="C49" s="1"/>
      <c r="D49" s="1"/>
      <c r="E49" s="1"/>
      <c r="F49" s="1"/>
      <c r="G49" s="1"/>
      <c r="H49" s="1"/>
      <c r="I49" s="1"/>
      <c r="J49" s="1"/>
      <c r="K49" s="1"/>
      <c r="L49" s="1"/>
    </row>
    <row r="50">
      <c r="B50" s="1"/>
      <c r="C50" s="1"/>
      <c r="D50" s="1"/>
      <c r="E50" s="1"/>
      <c r="F50" s="1"/>
      <c r="G50" s="1"/>
      <c r="H50" s="1"/>
      <c r="I50" s="1"/>
      <c r="J50" s="1"/>
      <c r="K50" s="1"/>
      <c r="L50" s="1"/>
    </row>
    <row r="51">
      <c r="B51" s="1"/>
      <c r="C51" s="1"/>
      <c r="D51" s="1"/>
      <c r="E51" s="1"/>
      <c r="F51" s="1"/>
      <c r="G51" s="1"/>
      <c r="H51" s="1"/>
      <c r="I51" s="1"/>
      <c r="J51" s="1"/>
      <c r="K51" s="1"/>
      <c r="L51" s="1"/>
    </row>
    <row r="52">
      <c r="B52" s="1"/>
      <c r="C52" s="1"/>
      <c r="D52" s="1"/>
      <c r="E52" s="1"/>
      <c r="F52" s="1"/>
      <c r="G52" s="1"/>
      <c r="H52" s="1"/>
      <c r="I52" s="1"/>
      <c r="J52" s="1"/>
      <c r="K52" s="1"/>
      <c r="L52" s="1"/>
    </row>
    <row r="53">
      <c r="B53" s="1"/>
      <c r="C53" s="1"/>
      <c r="D53" s="1"/>
      <c r="E53" s="1"/>
      <c r="F53" s="1"/>
      <c r="G53" s="1"/>
      <c r="H53" s="1"/>
      <c r="I53" s="1"/>
      <c r="J53" s="1"/>
      <c r="K53" s="1"/>
      <c r="L53" s="1"/>
    </row>
    <row r="54">
      <c r="B54" s="1"/>
      <c r="C54" s="1"/>
      <c r="D54" s="1"/>
      <c r="E54" s="1"/>
      <c r="F54" s="1"/>
      <c r="G54" s="1"/>
      <c r="H54" s="1"/>
      <c r="I54" s="1"/>
      <c r="J54" s="1"/>
      <c r="K54" s="1"/>
      <c r="L54" s="1"/>
    </row>
    <row r="55">
      <c r="B55" s="1"/>
      <c r="C55" s="1"/>
      <c r="D55" s="1"/>
      <c r="E55" s="1"/>
      <c r="F55" s="1"/>
      <c r="G55" s="1"/>
      <c r="H55" s="1"/>
      <c r="I55" s="1"/>
      <c r="J55" s="1"/>
      <c r="K55" s="1"/>
      <c r="L55" s="1"/>
    </row>
    <row r="56">
      <c r="B56" s="1"/>
      <c r="C56" s="1"/>
      <c r="D56" s="1"/>
      <c r="E56" s="1"/>
      <c r="F56" s="1"/>
      <c r="G56" s="1"/>
      <c r="H56" s="1"/>
      <c r="I56" s="1"/>
      <c r="J56" s="1"/>
      <c r="K56" s="1"/>
      <c r="L56" s="1"/>
    </row>
    <row r="57">
      <c r="B57" s="1"/>
      <c r="C57" s="1"/>
      <c r="D57" s="1"/>
      <c r="E57" s="1"/>
      <c r="F57" s="1"/>
      <c r="G57" s="1"/>
      <c r="H57" s="1"/>
      <c r="I57" s="1"/>
      <c r="J57" s="1"/>
      <c r="K57" s="1"/>
      <c r="L57" s="1"/>
    </row>
    <row r="58">
      <c r="B58" s="1"/>
      <c r="C58" s="1"/>
      <c r="D58" s="1"/>
      <c r="E58" s="1"/>
      <c r="F58" s="1"/>
      <c r="G58" s="1"/>
      <c r="H58" s="1"/>
      <c r="I58" s="1"/>
      <c r="J58" s="1"/>
      <c r="K58" s="1"/>
      <c r="L58" s="1"/>
    </row>
    <row r="59">
      <c r="B59" s="1"/>
      <c r="C59" s="1"/>
      <c r="D59" s="1"/>
      <c r="E59" s="1"/>
      <c r="F59" s="1"/>
      <c r="G59" s="1"/>
      <c r="H59" s="1"/>
      <c r="I59" s="1"/>
      <c r="J59" s="1"/>
      <c r="K59" s="1"/>
      <c r="L59" s="1"/>
    </row>
    <row r="60">
      <c r="B60" s="1"/>
      <c r="C60" s="1"/>
      <c r="D60" s="1"/>
      <c r="E60" s="1"/>
      <c r="F60" s="1"/>
      <c r="G60" s="1"/>
      <c r="H60" s="1"/>
      <c r="I60" s="1"/>
      <c r="J60" s="1"/>
      <c r="K60" s="1"/>
      <c r="L60" s="1"/>
    </row>
    <row r="61">
      <c r="B61" s="1"/>
      <c r="C61" s="1"/>
      <c r="D61" s="1"/>
      <c r="E61" s="1"/>
      <c r="F61" s="1"/>
      <c r="G61" s="1"/>
      <c r="H61" s="1"/>
      <c r="I61" s="1"/>
      <c r="J61" s="1"/>
      <c r="K61" s="1"/>
      <c r="L61" s="1"/>
    </row>
    <row r="62">
      <c r="B62" s="1"/>
      <c r="C62" s="1"/>
      <c r="D62" s="1"/>
      <c r="E62" s="1"/>
      <c r="F62" s="1"/>
      <c r="G62" s="1"/>
      <c r="H62" s="1"/>
      <c r="I62" s="1"/>
      <c r="J62" s="1"/>
      <c r="K62" s="1"/>
      <c r="L62" s="1"/>
    </row>
    <row r="63">
      <c r="B63" s="1"/>
      <c r="C63" s="1"/>
      <c r="D63" s="1"/>
      <c r="E63" s="1"/>
      <c r="F63" s="1"/>
      <c r="G63" s="1"/>
      <c r="H63" s="1"/>
      <c r="I63" s="1"/>
      <c r="J63" s="1"/>
      <c r="K63" s="1"/>
      <c r="L63" s="1"/>
    </row>
    <row r="64">
      <c r="B64" s="1"/>
      <c r="C64" s="1"/>
      <c r="D64" s="1"/>
      <c r="E64" s="1"/>
      <c r="F64" s="1"/>
      <c r="G64" s="1"/>
      <c r="H64" s="1"/>
      <c r="I64" s="1"/>
      <c r="J64" s="1"/>
      <c r="K64" s="1"/>
      <c r="L64" s="1"/>
    </row>
    <row r="65">
      <c r="B65" s="1"/>
      <c r="C65" s="1"/>
      <c r="D65" s="1"/>
      <c r="E65" s="1"/>
      <c r="F65" s="1"/>
      <c r="G65" s="1"/>
      <c r="H65" s="1"/>
      <c r="I65" s="1"/>
      <c r="J65" s="1"/>
      <c r="K65" s="1"/>
      <c r="L65" s="1"/>
    </row>
    <row r="66">
      <c r="B66" s="1"/>
      <c r="C66" s="1"/>
      <c r="D66" s="1"/>
      <c r="E66" s="1"/>
      <c r="F66" s="1"/>
      <c r="G66" s="1"/>
      <c r="H66" s="1"/>
      <c r="I66" s="1"/>
      <c r="J66" s="1"/>
      <c r="K66" s="1"/>
      <c r="L66" s="1"/>
    </row>
    <row r="67">
      <c r="B67" s="1"/>
      <c r="C67" s="1"/>
      <c r="D67" s="1"/>
      <c r="E67" s="1"/>
      <c r="F67" s="1"/>
      <c r="G67" s="1"/>
      <c r="H67" s="1"/>
      <c r="I67" s="1"/>
      <c r="J67" s="1"/>
      <c r="K67" s="1"/>
      <c r="L67" s="1"/>
    </row>
    <row r="68">
      <c r="B68" s="1"/>
      <c r="C68" s="1"/>
      <c r="D68" s="1"/>
      <c r="E68" s="1"/>
      <c r="F68" s="1"/>
      <c r="G68" s="1"/>
      <c r="H68" s="1"/>
      <c r="I68" s="1"/>
      <c r="J68" s="1"/>
      <c r="K68" s="1"/>
      <c r="L68" s="1"/>
    </row>
    <row r="69">
      <c r="B69" s="1"/>
      <c r="C69" s="1"/>
      <c r="D69" s="1"/>
      <c r="E69" s="1"/>
      <c r="F69" s="1"/>
      <c r="G69" s="1"/>
      <c r="H69" s="1"/>
      <c r="I69" s="1"/>
      <c r="J69" s="1"/>
      <c r="K69" s="1"/>
      <c r="L69" s="1"/>
    </row>
    <row r="70">
      <c r="B70" s="1"/>
      <c r="C70" s="1"/>
      <c r="D70" s="1"/>
      <c r="E70" s="1"/>
      <c r="F70" s="1"/>
      <c r="G70" s="1"/>
      <c r="H70" s="1"/>
      <c r="I70" s="1"/>
      <c r="J70" s="1"/>
      <c r="K70" s="1"/>
      <c r="L70" s="1"/>
    </row>
    <row r="71">
      <c r="B71" s="1"/>
      <c r="C71" s="1"/>
      <c r="D71" s="1"/>
      <c r="E71" s="1"/>
      <c r="F71" s="1"/>
      <c r="G71" s="1"/>
      <c r="H71" s="1"/>
      <c r="I71" s="1"/>
      <c r="J71" s="1"/>
      <c r="K71" s="1"/>
      <c r="L71" s="1"/>
    </row>
    <row r="72">
      <c r="B72" s="1"/>
      <c r="C72" s="1"/>
      <c r="D72" s="1"/>
      <c r="E72" s="1"/>
      <c r="F72" s="1"/>
      <c r="G72" s="1"/>
      <c r="H72" s="1"/>
      <c r="I72" s="1"/>
      <c r="J72" s="1"/>
      <c r="K72" s="1"/>
      <c r="L72" s="1"/>
    </row>
    <row r="73">
      <c r="B73" s="1"/>
      <c r="C73" s="1"/>
      <c r="D73" s="1"/>
      <c r="E73" s="1"/>
      <c r="F73" s="1"/>
      <c r="G73" s="1"/>
      <c r="H73" s="1"/>
      <c r="I73" s="1"/>
      <c r="J73" s="1"/>
      <c r="K73" s="1"/>
      <c r="L73" s="1"/>
    </row>
    <row r="74">
      <c r="B74" s="1"/>
      <c r="C74" s="1"/>
      <c r="D74" s="1"/>
      <c r="E74" s="1"/>
      <c r="F74" s="1"/>
      <c r="G74" s="1"/>
      <c r="H74" s="1"/>
      <c r="I74" s="1"/>
      <c r="J74" s="1"/>
      <c r="K74" s="1"/>
      <c r="L74" s="1"/>
    </row>
    <row r="75">
      <c r="B75" s="1"/>
      <c r="C75" s="1"/>
      <c r="D75" s="1"/>
      <c r="E75" s="1"/>
      <c r="F75" s="1"/>
      <c r="G75" s="1"/>
      <c r="H75" s="1"/>
      <c r="I75" s="1"/>
      <c r="J75" s="1"/>
      <c r="K75" s="1"/>
      <c r="L75" s="1"/>
    </row>
    <row r="76">
      <c r="B76" s="1"/>
      <c r="C76" s="1"/>
      <c r="D76" s="1"/>
      <c r="E76" s="1"/>
      <c r="F76" s="1"/>
      <c r="G76" s="1"/>
      <c r="H76" s="1"/>
      <c r="I76" s="1"/>
      <c r="J76" s="1"/>
      <c r="K76" s="1"/>
      <c r="L76" s="1"/>
    </row>
    <row r="77">
      <c r="B77" s="1"/>
      <c r="C77" s="1"/>
      <c r="D77" s="1"/>
      <c r="E77" s="1"/>
      <c r="F77" s="1"/>
      <c r="G77" s="1"/>
      <c r="H77" s="1"/>
      <c r="I77" s="1"/>
      <c r="J77" s="1"/>
      <c r="K77" s="1"/>
      <c r="L77" s="1"/>
    </row>
    <row r="78">
      <c r="B78" s="1"/>
      <c r="C78" s="1"/>
      <c r="D78" s="1"/>
      <c r="E78" s="1"/>
      <c r="F78" s="1"/>
      <c r="G78" s="1"/>
      <c r="H78" s="1"/>
      <c r="I78" s="1"/>
      <c r="J78" s="1"/>
      <c r="K78" s="1"/>
      <c r="L78" s="1"/>
    </row>
    <row r="79">
      <c r="B79" s="1"/>
      <c r="C79" s="1"/>
      <c r="D79" s="1"/>
      <c r="E79" s="1"/>
      <c r="F79" s="1"/>
      <c r="G79" s="1"/>
      <c r="H79" s="1"/>
      <c r="I79" s="1"/>
      <c r="J79" s="1"/>
      <c r="K79" s="1"/>
      <c r="L79" s="1"/>
    </row>
    <row r="80">
      <c r="B80" s="120"/>
      <c r="C80" s="120"/>
      <c r="D80" s="120"/>
      <c r="E80" s="120"/>
      <c r="F80" s="120"/>
      <c r="G80" s="120"/>
      <c r="H80" s="120"/>
      <c r="I80" s="120"/>
      <c r="J80" s="120"/>
      <c r="K80" s="120"/>
      <c r="L80" s="120"/>
    </row>
    <row r="81">
      <c r="B81" s="1"/>
      <c r="C81" s="1"/>
      <c r="D81" s="1"/>
      <c r="E81" s="1"/>
      <c r="F81" s="1"/>
      <c r="G81" s="1"/>
      <c r="H81" s="1"/>
      <c r="I81" s="1"/>
      <c r="J81" s="1"/>
      <c r="K81" s="1"/>
      <c r="L81" s="1"/>
    </row>
    <row r="82">
      <c r="B82" s="1"/>
      <c r="C82" s="1"/>
      <c r="D82" s="1"/>
      <c r="E82" s="1"/>
      <c r="F82" s="1"/>
      <c r="G82" s="1"/>
      <c r="H82" s="1"/>
      <c r="I82" s="1"/>
      <c r="J82" s="1"/>
      <c r="K82" s="1"/>
      <c r="L82" s="1"/>
    </row>
    <row r="83">
      <c r="B83" s="1"/>
      <c r="C83" s="1"/>
      <c r="D83" s="1"/>
      <c r="E83" s="1"/>
      <c r="F83" s="1"/>
      <c r="G83" s="1"/>
      <c r="H83" s="1"/>
      <c r="I83" s="1"/>
      <c r="J83" s="1"/>
      <c r="K83" s="1"/>
      <c r="L83" s="1"/>
    </row>
    <row r="84">
      <c r="B84" s="1"/>
      <c r="C84" s="1"/>
      <c r="D84" s="1"/>
      <c r="E84" s="1"/>
      <c r="F84" s="1"/>
      <c r="G84" s="1"/>
      <c r="H84" s="1"/>
      <c r="I84" s="1"/>
      <c r="J84" s="1"/>
      <c r="K84" s="1"/>
      <c r="L84" s="1"/>
    </row>
    <row r="85">
      <c r="B85" s="1"/>
      <c r="C85" s="1"/>
      <c r="D85" s="1"/>
      <c r="E85" s="1"/>
      <c r="F85" s="1"/>
      <c r="G85" s="1"/>
      <c r="H85" s="1"/>
      <c r="I85" s="1"/>
      <c r="J85" s="1"/>
      <c r="K85" s="1"/>
      <c r="L85" s="1"/>
    </row>
    <row r="86">
      <c r="B86" s="1"/>
      <c r="C86" s="1"/>
      <c r="D86" s="1"/>
      <c r="E86" s="1"/>
      <c r="F86" s="1"/>
      <c r="G86" s="1"/>
      <c r="H86" s="1"/>
      <c r="I86" s="1"/>
      <c r="J86" s="1"/>
      <c r="K86" s="1"/>
      <c r="L86" s="1"/>
    </row>
    <row r="87">
      <c r="B87" s="1"/>
      <c r="C87" s="1"/>
      <c r="D87" s="1"/>
      <c r="E87" s="1"/>
      <c r="F87" s="1"/>
      <c r="G87" s="1"/>
      <c r="H87" s="1"/>
      <c r="I87" s="1"/>
      <c r="J87" s="1"/>
      <c r="K87" s="1"/>
      <c r="L87" s="1"/>
    </row>
    <row r="88">
      <c r="B88" s="1"/>
      <c r="C88" s="1"/>
      <c r="D88" s="1"/>
      <c r="E88" s="1"/>
      <c r="F88" s="1"/>
      <c r="G88" s="1"/>
      <c r="H88" s="1"/>
      <c r="I88" s="1"/>
      <c r="J88" s="1"/>
      <c r="K88" s="1"/>
      <c r="L88" s="1"/>
    </row>
    <row r="89">
      <c r="B89" s="30"/>
      <c r="C89" s="30"/>
      <c r="D89" s="30"/>
      <c r="E89" s="30"/>
      <c r="F89" s="30"/>
      <c r="G89" s="30"/>
      <c r="H89" s="30"/>
      <c r="I89" s="30"/>
      <c r="J89" s="30"/>
      <c r="K89" s="30"/>
      <c r="L89" s="30"/>
    </row>
    <row r="90">
      <c r="B90" s="1"/>
      <c r="C90" s="1"/>
      <c r="D90" s="1"/>
      <c r="E90" s="1"/>
      <c r="F90" s="1"/>
      <c r="G90" s="1"/>
      <c r="H90" s="1"/>
      <c r="I90" s="1"/>
      <c r="J90" s="1"/>
      <c r="K90" s="1"/>
      <c r="L90" s="1"/>
    </row>
    <row r="91">
      <c r="B91" s="1"/>
      <c r="C91" s="1"/>
      <c r="D91" s="1"/>
      <c r="E91" s="1"/>
      <c r="F91" s="1"/>
      <c r="G91" s="1"/>
      <c r="H91" s="1"/>
      <c r="I91" s="1"/>
      <c r="J91" s="1"/>
      <c r="K91" s="1"/>
      <c r="L91" s="1"/>
    </row>
    <row r="92">
      <c r="B92" s="1"/>
      <c r="C92" s="1"/>
      <c r="D92" s="1"/>
      <c r="E92" s="1"/>
      <c r="F92" s="1"/>
      <c r="G92" s="1"/>
      <c r="H92" s="1"/>
      <c r="I92" s="1"/>
      <c r="J92" s="1"/>
      <c r="K92" s="1"/>
      <c r="L92" s="1"/>
    </row>
    <row r="93">
      <c r="B93" s="1"/>
      <c r="C93" s="1"/>
      <c r="D93" s="1"/>
      <c r="E93" s="1"/>
      <c r="F93" s="1"/>
      <c r="G93" s="1"/>
      <c r="H93" s="1"/>
      <c r="I93" s="1"/>
      <c r="J93" s="1"/>
      <c r="K93" s="1"/>
      <c r="L93" s="1"/>
    </row>
    <row r="94">
      <c r="B94" s="1"/>
      <c r="C94" s="1"/>
      <c r="D94" s="1"/>
      <c r="E94" s="1"/>
      <c r="F94" s="1"/>
      <c r="G94" s="1"/>
      <c r="H94" s="1"/>
      <c r="I94" s="1"/>
      <c r="J94" s="1"/>
      <c r="K94" s="1"/>
      <c r="L94" s="1"/>
    </row>
    <row r="95">
      <c r="B95" s="1"/>
      <c r="C95" s="1"/>
      <c r="D95" s="1"/>
      <c r="E95" s="1"/>
      <c r="F95" s="1"/>
      <c r="G95" s="1"/>
      <c r="H95" s="1"/>
      <c r="I95" s="1"/>
      <c r="J95" s="1"/>
      <c r="K95" s="1"/>
      <c r="L95" s="1"/>
    </row>
    <row r="96">
      <c r="B96" s="1"/>
      <c r="C96" s="1"/>
      <c r="D96" s="1"/>
      <c r="E96" s="1"/>
      <c r="F96" s="1"/>
      <c r="G96" s="1"/>
      <c r="H96" s="1"/>
      <c r="I96" s="1"/>
      <c r="J96" s="1"/>
      <c r="K96" s="1"/>
      <c r="L96" s="1"/>
    </row>
    <row r="97">
      <c r="B97" s="1"/>
      <c r="C97" s="1"/>
      <c r="D97" s="1"/>
      <c r="E97" s="1"/>
      <c r="F97" s="1"/>
      <c r="G97" s="1"/>
      <c r="H97" s="1"/>
      <c r="I97" s="1"/>
      <c r="J97" s="1"/>
      <c r="K97" s="1"/>
      <c r="L97" s="1"/>
    </row>
    <row r="98">
      <c r="B98" s="1"/>
      <c r="C98" s="1"/>
      <c r="D98" s="1"/>
      <c r="E98" s="1"/>
      <c r="F98" s="1"/>
      <c r="G98" s="1"/>
      <c r="H98" s="1"/>
      <c r="I98" s="1"/>
      <c r="J98" s="1"/>
      <c r="K98" s="1"/>
      <c r="L98" s="1"/>
    </row>
    <row r="99">
      <c r="B99" s="1"/>
      <c r="C99" s="1"/>
      <c r="D99" s="1"/>
      <c r="E99" s="1"/>
      <c r="F99" s="1"/>
      <c r="G99" s="1"/>
      <c r="H99" s="1"/>
      <c r="I99" s="1"/>
      <c r="J99" s="1"/>
      <c r="K99" s="1"/>
      <c r="L99" s="1"/>
    </row>
    <row r="100">
      <c r="B100" s="1"/>
      <c r="C100" s="1"/>
      <c r="D100" s="1"/>
      <c r="E100" s="1"/>
      <c r="F100" s="1"/>
      <c r="G100" s="1"/>
      <c r="H100" s="1"/>
      <c r="I100" s="1"/>
      <c r="J100" s="1"/>
      <c r="K100" s="1"/>
      <c r="L100" s="1"/>
    </row>
    <row r="101">
      <c r="B101" s="1"/>
      <c r="C101" s="1"/>
      <c r="D101" s="1"/>
      <c r="E101" s="1"/>
      <c r="F101" s="1"/>
      <c r="G101" s="1"/>
      <c r="H101" s="1"/>
      <c r="I101" s="1"/>
      <c r="J101" s="1"/>
      <c r="K101" s="1"/>
      <c r="L101" s="1"/>
    </row>
    <row r="102">
      <c r="B102" s="1"/>
      <c r="C102" s="1"/>
      <c r="D102" s="1"/>
      <c r="E102" s="1"/>
      <c r="F102" s="1"/>
      <c r="G102" s="1"/>
      <c r="H102" s="1"/>
      <c r="I102" s="1"/>
      <c r="J102" s="1"/>
      <c r="K102" s="1"/>
      <c r="L102" s="1"/>
    </row>
    <row r="103">
      <c r="B103" s="1"/>
      <c r="C103" s="1"/>
      <c r="D103" s="1"/>
      <c r="E103" s="1"/>
      <c r="F103" s="1"/>
      <c r="G103" s="1"/>
      <c r="H103" s="1"/>
      <c r="I103" s="1"/>
      <c r="J103" s="1"/>
      <c r="K103" s="1"/>
      <c r="L103" s="1"/>
    </row>
    <row r="104">
      <c r="B104" s="1"/>
      <c r="C104" s="1"/>
      <c r="D104" s="1"/>
      <c r="E104" s="1"/>
      <c r="F104" s="1"/>
      <c r="G104" s="1"/>
      <c r="H104" s="1"/>
      <c r="I104" s="1"/>
      <c r="J104" s="1"/>
      <c r="K104" s="1"/>
      <c r="L104" s="1"/>
    </row>
    <row r="105">
      <c r="B105" s="1"/>
      <c r="C105" s="1"/>
      <c r="D105" s="1"/>
      <c r="E105" s="1"/>
      <c r="F105" s="1"/>
      <c r="G105" s="1"/>
      <c r="H105" s="1"/>
      <c r="I105" s="1"/>
      <c r="J105" s="1"/>
      <c r="K105" s="1"/>
      <c r="L105" s="1"/>
    </row>
    <row r="106">
      <c r="B106" s="1"/>
      <c r="C106" s="1"/>
      <c r="D106" s="1"/>
      <c r="E106" s="1"/>
      <c r="F106" s="1"/>
      <c r="G106" s="1"/>
      <c r="H106" s="1"/>
      <c r="I106" s="1"/>
      <c r="J106" s="1"/>
      <c r="K106" s="1"/>
      <c r="L106" s="1"/>
    </row>
    <row r="107">
      <c r="B107" s="1"/>
      <c r="C107" s="1"/>
      <c r="D107" s="1"/>
      <c r="E107" s="1"/>
      <c r="F107" s="1"/>
      <c r="G107" s="1"/>
      <c r="H107" s="1"/>
      <c r="I107" s="1"/>
      <c r="J107" s="1"/>
      <c r="K107" s="1"/>
      <c r="L107" s="1"/>
    </row>
    <row r="108">
      <c r="B108" s="1"/>
      <c r="C108" s="1"/>
      <c r="D108" s="1"/>
      <c r="E108" s="1"/>
      <c r="F108" s="1"/>
      <c r="G108" s="1"/>
      <c r="H108" s="1"/>
      <c r="I108" s="1"/>
      <c r="J108" s="1"/>
      <c r="K108" s="1"/>
      <c r="L108" s="1"/>
    </row>
    <row r="109">
      <c r="B109" s="1"/>
      <c r="C109" s="1"/>
      <c r="D109" s="1"/>
      <c r="E109" s="1"/>
      <c r="F109" s="1"/>
      <c r="G109" s="1"/>
      <c r="H109" s="1"/>
      <c r="I109" s="1"/>
      <c r="J109" s="1"/>
      <c r="K109" s="1"/>
      <c r="L109" s="1"/>
    </row>
    <row r="110">
      <c r="B110" s="1"/>
      <c r="C110" s="1"/>
      <c r="D110" s="1"/>
      <c r="E110" s="1"/>
      <c r="F110" s="1"/>
      <c r="G110" s="1"/>
      <c r="H110" s="1"/>
      <c r="I110" s="1"/>
      <c r="J110" s="1"/>
      <c r="K110" s="1"/>
      <c r="L110" s="1"/>
    </row>
    <row r="111">
      <c r="B111" s="122"/>
      <c r="C111" s="122"/>
      <c r="D111" s="122"/>
      <c r="E111" s="122"/>
      <c r="F111" s="122"/>
      <c r="G111" s="122"/>
      <c r="H111" s="122"/>
      <c r="I111" s="122"/>
      <c r="J111" s="122"/>
      <c r="K111" s="122"/>
      <c r="L111" s="122"/>
    </row>
    <row r="112">
      <c r="B112" s="1"/>
      <c r="C112" s="1"/>
      <c r="D112" s="1"/>
      <c r="E112" s="1"/>
      <c r="F112" s="1"/>
      <c r="G112" s="1"/>
      <c r="H112" s="1"/>
      <c r="I112" s="1"/>
      <c r="J112" s="1"/>
      <c r="K112" s="1"/>
      <c r="L112" s="1"/>
    </row>
    <row r="113">
      <c r="B113" s="1"/>
      <c r="C113" s="1"/>
      <c r="D113" s="1"/>
      <c r="E113" s="1"/>
      <c r="F113" s="1"/>
      <c r="G113" s="1"/>
      <c r="H113" s="1"/>
      <c r="I113" s="1"/>
      <c r="J113" s="1"/>
      <c r="K113" s="1"/>
      <c r="L113" s="1"/>
    </row>
    <row r="114">
      <c r="B114" s="30"/>
      <c r="C114" s="30"/>
      <c r="D114" s="30"/>
      <c r="E114" s="30"/>
      <c r="F114" s="30"/>
      <c r="G114" s="30"/>
      <c r="H114" s="30"/>
      <c r="I114" s="30"/>
      <c r="J114" s="30"/>
      <c r="K114" s="30"/>
      <c r="L114" s="30"/>
    </row>
    <row r="115">
      <c r="B115" s="1"/>
      <c r="C115" s="1"/>
      <c r="D115" s="1"/>
      <c r="E115" s="1"/>
      <c r="F115" s="1"/>
      <c r="G115" s="1"/>
      <c r="H115" s="1"/>
      <c r="I115" s="1"/>
      <c r="J115" s="1"/>
      <c r="K115" s="1"/>
      <c r="L115" s="1"/>
    </row>
    <row r="116">
      <c r="B116" s="1"/>
      <c r="C116" s="1"/>
      <c r="D116" s="1"/>
      <c r="E116" s="1"/>
      <c r="F116" s="1"/>
      <c r="G116" s="1"/>
      <c r="H116" s="1"/>
      <c r="I116" s="1"/>
      <c r="J116" s="1"/>
      <c r="K116" s="1"/>
      <c r="L116" s="1"/>
    </row>
    <row r="117">
      <c r="B117" s="1"/>
      <c r="C117" s="1"/>
      <c r="D117" s="1"/>
      <c r="E117" s="1"/>
      <c r="F117" s="1"/>
      <c r="G117" s="1"/>
      <c r="H117" s="1"/>
      <c r="I117" s="1"/>
      <c r="J117" s="1"/>
      <c r="K117" s="1"/>
      <c r="L117" s="1"/>
    </row>
    <row r="118">
      <c r="B118" s="1"/>
      <c r="C118" s="1"/>
      <c r="D118" s="1"/>
      <c r="E118" s="1"/>
      <c r="F118" s="1"/>
      <c r="G118" s="1"/>
      <c r="H118" s="1"/>
      <c r="I118" s="1"/>
      <c r="J118" s="1"/>
      <c r="K118" s="1"/>
      <c r="L118" s="1"/>
    </row>
    <row r="119">
      <c r="B119" s="1"/>
      <c r="C119" s="1"/>
      <c r="D119" s="1"/>
      <c r="E119" s="1"/>
      <c r="F119" s="1"/>
      <c r="G119" s="1"/>
      <c r="H119" s="1"/>
      <c r="I119" s="1"/>
      <c r="J119" s="1"/>
      <c r="K119" s="1"/>
      <c r="L119" s="1"/>
    </row>
    <row r="120">
      <c r="B120" s="1"/>
      <c r="C120" s="1"/>
      <c r="D120" s="1"/>
      <c r="E120" s="1"/>
      <c r="F120" s="1"/>
      <c r="G120" s="1"/>
      <c r="H120" s="1"/>
      <c r="I120" s="1"/>
      <c r="J120" s="1"/>
      <c r="K120" s="1"/>
      <c r="L120" s="1"/>
    </row>
    <row r="121">
      <c r="B121" s="1"/>
      <c r="C121" s="1"/>
      <c r="D121" s="1"/>
      <c r="E121" s="1"/>
      <c r="F121" s="1"/>
      <c r="G121" s="1"/>
      <c r="H121" s="1"/>
      <c r="I121" s="1"/>
      <c r="J121" s="1"/>
      <c r="K121" s="1"/>
      <c r="L121" s="1"/>
    </row>
    <row r="122">
      <c r="B122" s="1"/>
      <c r="C122" s="1"/>
      <c r="D122" s="1"/>
      <c r="E122" s="1"/>
      <c r="F122" s="1"/>
      <c r="G122" s="1"/>
      <c r="H122" s="1"/>
      <c r="I122" s="1"/>
      <c r="J122" s="1"/>
      <c r="K122" s="1"/>
      <c r="L122" s="1"/>
    </row>
    <row r="123">
      <c r="B123" s="1"/>
      <c r="C123" s="1"/>
      <c r="D123" s="1"/>
      <c r="E123" s="1"/>
      <c r="F123" s="1"/>
      <c r="G123" s="1"/>
      <c r="H123" s="1"/>
      <c r="I123" s="1"/>
      <c r="J123" s="1"/>
      <c r="K123" s="1"/>
      <c r="L123" s="1"/>
    </row>
    <row r="124">
      <c r="B124" s="1"/>
      <c r="C124" s="1"/>
      <c r="D124" s="1"/>
      <c r="E124" s="1"/>
      <c r="F124" s="1"/>
      <c r="G124" s="1"/>
      <c r="H124" s="1"/>
      <c r="I124" s="1"/>
      <c r="J124" s="1"/>
      <c r="K124" s="1"/>
      <c r="L124" s="1"/>
    </row>
    <row r="125">
      <c r="B125" s="1"/>
      <c r="C125" s="1"/>
      <c r="D125" s="1"/>
      <c r="E125" s="1"/>
      <c r="F125" s="1"/>
      <c r="G125" s="1"/>
      <c r="H125" s="1"/>
      <c r="I125" s="1"/>
      <c r="J125" s="1"/>
      <c r="K125" s="1"/>
      <c r="L125" s="1"/>
    </row>
    <row r="126">
      <c r="B126" s="1"/>
      <c r="C126" s="1"/>
      <c r="D126" s="1"/>
      <c r="E126" s="1"/>
      <c r="F126" s="1"/>
      <c r="G126" s="1"/>
      <c r="H126" s="1"/>
      <c r="I126" s="1"/>
      <c r="J126" s="1"/>
      <c r="K126" s="1"/>
      <c r="L126" s="1"/>
    </row>
    <row r="127">
      <c r="B127" s="1"/>
      <c r="C127" s="1"/>
      <c r="D127" s="1"/>
      <c r="E127" s="1"/>
      <c r="F127" s="1"/>
      <c r="G127" s="1"/>
      <c r="H127" s="1"/>
      <c r="I127" s="1"/>
      <c r="J127" s="1"/>
      <c r="K127" s="1"/>
      <c r="L127" s="1"/>
    </row>
    <row r="128">
      <c r="B128" s="1"/>
      <c r="C128" s="1"/>
      <c r="D128" s="1"/>
      <c r="E128" s="1"/>
      <c r="F128" s="1"/>
      <c r="G128" s="1"/>
      <c r="H128" s="1"/>
      <c r="I128" s="1"/>
      <c r="J128" s="1"/>
      <c r="K128" s="1"/>
      <c r="L128" s="1"/>
    </row>
    <row r="129">
      <c r="B129" s="1"/>
      <c r="C129" s="1"/>
      <c r="D129" s="1"/>
      <c r="E129" s="1"/>
      <c r="F129" s="1"/>
      <c r="G129" s="1"/>
      <c r="H129" s="1"/>
      <c r="I129" s="1"/>
      <c r="J129" s="1"/>
      <c r="K129" s="1"/>
      <c r="L129" s="1"/>
    </row>
    <row r="130">
      <c r="B130" s="1"/>
      <c r="C130" s="1"/>
      <c r="D130" s="1"/>
      <c r="E130" s="1"/>
      <c r="F130" s="1"/>
      <c r="G130" s="1"/>
      <c r="H130" s="1"/>
      <c r="I130" s="1"/>
      <c r="J130" s="1"/>
      <c r="K130" s="1"/>
      <c r="L130" s="1"/>
    </row>
    <row r="131">
      <c r="B131" s="1"/>
      <c r="C131" s="1"/>
      <c r="D131" s="1"/>
      <c r="E131" s="1"/>
      <c r="F131" s="1"/>
      <c r="G131" s="1"/>
      <c r="H131" s="1"/>
      <c r="I131" s="1"/>
      <c r="J131" s="1"/>
      <c r="K131" s="1"/>
      <c r="L131" s="1"/>
    </row>
    <row r="132">
      <c r="B132" s="1"/>
      <c r="C132" s="1"/>
      <c r="D132" s="1"/>
      <c r="E132" s="1"/>
      <c r="F132" s="1"/>
      <c r="G132" s="1"/>
      <c r="H132" s="1"/>
      <c r="I132" s="1"/>
      <c r="J132" s="1"/>
      <c r="K132" s="1"/>
      <c r="L132" s="1"/>
    </row>
    <row r="133">
      <c r="B133" s="1"/>
      <c r="C133" s="1"/>
      <c r="D133" s="1"/>
      <c r="E133" s="1"/>
      <c r="F133" s="1"/>
      <c r="G133" s="1"/>
      <c r="H133" s="1"/>
      <c r="I133" s="1"/>
      <c r="J133" s="1"/>
      <c r="K133" s="1"/>
      <c r="L133" s="1"/>
    </row>
    <row r="134">
      <c r="B134" s="1"/>
      <c r="C134" s="1"/>
      <c r="D134" s="1"/>
      <c r="E134" s="1"/>
      <c r="F134" s="1"/>
      <c r="G134" s="1"/>
      <c r="H134" s="1"/>
      <c r="I134" s="1"/>
      <c r="J134" s="1"/>
      <c r="K134" s="1"/>
      <c r="L134" s="1"/>
    </row>
    <row r="135">
      <c r="B135" s="1"/>
      <c r="C135" s="1"/>
      <c r="D135" s="1"/>
      <c r="E135" s="1"/>
      <c r="F135" s="1"/>
      <c r="G135" s="1"/>
      <c r="H135" s="1"/>
      <c r="I135" s="1"/>
      <c r="J135" s="1"/>
      <c r="K135" s="1"/>
      <c r="L135" s="1"/>
    </row>
    <row r="136">
      <c r="B136" s="122"/>
      <c r="C136" s="122"/>
      <c r="D136" s="122"/>
      <c r="E136" s="122"/>
      <c r="F136" s="122"/>
      <c r="G136" s="122"/>
      <c r="H136" s="122"/>
      <c r="I136" s="122"/>
      <c r="J136" s="122"/>
      <c r="K136" s="122"/>
      <c r="L136" s="122"/>
    </row>
    <row r="137">
      <c r="B137" s="1"/>
      <c r="C137" s="1"/>
      <c r="D137" s="1"/>
      <c r="E137" s="1"/>
      <c r="F137" s="1"/>
      <c r="G137" s="1"/>
      <c r="H137" s="1"/>
      <c r="I137" s="1"/>
      <c r="J137" s="1"/>
      <c r="K137" s="1"/>
      <c r="L137" s="1"/>
    </row>
    <row r="138">
      <c r="B138" s="1"/>
      <c r="C138" s="1"/>
      <c r="D138" s="1"/>
      <c r="E138" s="1"/>
      <c r="F138" s="1"/>
      <c r="G138" s="1"/>
      <c r="H138" s="1"/>
      <c r="I138" s="1"/>
      <c r="J138" s="1"/>
      <c r="K138" s="1"/>
      <c r="L138" s="1"/>
    </row>
    <row r="139">
      <c r="B139" s="1"/>
      <c r="C139" s="1"/>
      <c r="D139" s="1"/>
      <c r="E139" s="1"/>
      <c r="F139" s="1"/>
      <c r="G139" s="1"/>
      <c r="H139" s="1"/>
      <c r="I139" s="1"/>
      <c r="J139" s="1"/>
      <c r="K139" s="1"/>
      <c r="L139" s="1"/>
    </row>
    <row r="140">
      <c r="B140" s="1"/>
      <c r="C140" s="1"/>
      <c r="D140" s="1"/>
      <c r="E140" s="1"/>
      <c r="F140" s="1"/>
      <c r="G140" s="1"/>
      <c r="H140" s="1"/>
      <c r="I140" s="1"/>
      <c r="J140" s="1"/>
      <c r="K140" s="1"/>
      <c r="L140" s="1"/>
    </row>
    <row r="141">
      <c r="B141" s="1"/>
      <c r="C141" s="1"/>
      <c r="D141" s="1"/>
      <c r="E141" s="1"/>
      <c r="F141" s="1"/>
      <c r="G141" s="1"/>
      <c r="H141" s="1"/>
      <c r="I141" s="1"/>
      <c r="J141" s="1"/>
      <c r="K141" s="1"/>
      <c r="L141" s="1"/>
    </row>
    <row r="142">
      <c r="B142" s="1"/>
      <c r="C142" s="1"/>
      <c r="D142" s="1"/>
      <c r="E142" s="1"/>
      <c r="F142" s="1"/>
      <c r="G142" s="1"/>
      <c r="H142" s="1"/>
      <c r="I142" s="1"/>
      <c r="J142" s="1"/>
      <c r="K142" s="1"/>
      <c r="L142" s="1"/>
    </row>
    <row r="143">
      <c r="B143" s="1"/>
      <c r="C143" s="1"/>
      <c r="D143" s="1"/>
      <c r="E143" s="1"/>
      <c r="F143" s="1"/>
      <c r="G143" s="1"/>
      <c r="H143" s="1"/>
      <c r="I143" s="1"/>
      <c r="J143" s="1"/>
      <c r="K143" s="1"/>
      <c r="L143" s="1"/>
    </row>
    <row r="144">
      <c r="B144" s="1"/>
      <c r="C144" s="1"/>
      <c r="D144" s="1"/>
      <c r="E144" s="1"/>
      <c r="F144" s="1"/>
      <c r="G144" s="1"/>
      <c r="H144" s="1"/>
      <c r="I144" s="1"/>
      <c r="J144" s="1"/>
      <c r="K144" s="1"/>
      <c r="L144" s="1"/>
    </row>
    <row r="145">
      <c r="B145" s="1"/>
      <c r="C145" s="1"/>
      <c r="D145" s="1"/>
      <c r="E145" s="1"/>
      <c r="F145" s="1"/>
      <c r="G145" s="1"/>
      <c r="H145" s="1"/>
      <c r="I145" s="1"/>
      <c r="J145" s="1"/>
      <c r="K145" s="1"/>
      <c r="L145" s="1"/>
    </row>
    <row r="146">
      <c r="B146" s="1"/>
      <c r="C146" s="1"/>
      <c r="D146" s="1"/>
      <c r="E146" s="1"/>
      <c r="F146" s="1"/>
      <c r="G146" s="1"/>
      <c r="H146" s="1"/>
      <c r="I146" s="1"/>
      <c r="J146" s="1"/>
      <c r="K146" s="1"/>
      <c r="L146" s="1"/>
    </row>
    <row r="147">
      <c r="B147" s="1"/>
      <c r="C147" s="1"/>
      <c r="D147" s="1"/>
      <c r="E147" s="1"/>
      <c r="F147" s="1"/>
      <c r="G147" s="1"/>
      <c r="H147" s="1"/>
      <c r="I147" s="1"/>
      <c r="J147" s="1"/>
      <c r="K147" s="1"/>
      <c r="L147" s="1"/>
    </row>
    <row r="148">
      <c r="B148" s="1"/>
      <c r="C148" s="1"/>
      <c r="D148" s="1"/>
      <c r="E148" s="1"/>
      <c r="F148" s="1"/>
      <c r="G148" s="1"/>
      <c r="H148" s="1"/>
      <c r="I148" s="1"/>
      <c r="J148" s="1"/>
      <c r="K148" s="1"/>
      <c r="L148" s="1"/>
    </row>
    <row r="149">
      <c r="B149" s="1"/>
      <c r="C149" s="1"/>
      <c r="D149" s="1"/>
      <c r="E149" s="1"/>
      <c r="F149" s="1"/>
      <c r="G149" s="1"/>
      <c r="H149" s="1"/>
      <c r="I149" s="1"/>
      <c r="J149" s="1"/>
      <c r="K149" s="1"/>
      <c r="L149" s="1"/>
    </row>
    <row r="150">
      <c r="B150" s="1"/>
      <c r="C150" s="1"/>
      <c r="D150" s="1"/>
      <c r="E150" s="1"/>
      <c r="F150" s="1"/>
      <c r="G150" s="1"/>
      <c r="H150" s="1"/>
      <c r="I150" s="1"/>
      <c r="J150" s="1"/>
      <c r="K150" s="1"/>
      <c r="L150" s="1"/>
    </row>
    <row r="151">
      <c r="B151" s="1"/>
      <c r="C151" s="1"/>
      <c r="D151" s="1"/>
      <c r="E151" s="1"/>
      <c r="F151" s="1"/>
      <c r="G151" s="1"/>
      <c r="H151" s="1"/>
      <c r="I151" s="1"/>
      <c r="J151" s="1"/>
      <c r="K151" s="1"/>
      <c r="L151" s="1"/>
    </row>
    <row r="152">
      <c r="B152" s="1"/>
      <c r="C152" s="1"/>
      <c r="D152" s="1"/>
      <c r="E152" s="1"/>
      <c r="F152" s="1"/>
      <c r="G152" s="1"/>
      <c r="H152" s="1"/>
      <c r="I152" s="1"/>
      <c r="J152" s="1"/>
      <c r="K152" s="1"/>
      <c r="L152" s="1"/>
    </row>
    <row r="153">
      <c r="B153" s="1"/>
      <c r="C153" s="1"/>
      <c r="D153" s="1"/>
      <c r="E153" s="1"/>
      <c r="F153" s="1"/>
      <c r="G153" s="1"/>
      <c r="H153" s="1"/>
      <c r="I153" s="1"/>
      <c r="J153" s="1"/>
      <c r="K153" s="1"/>
      <c r="L153" s="1"/>
    </row>
    <row r="154">
      <c r="B154" s="1"/>
      <c r="C154" s="1"/>
      <c r="D154" s="1"/>
      <c r="E154" s="1"/>
      <c r="F154" s="1"/>
      <c r="G154" s="1"/>
      <c r="H154" s="1"/>
      <c r="I154" s="1"/>
      <c r="J154" s="1"/>
      <c r="K154" s="1"/>
      <c r="L154" s="1"/>
    </row>
    <row r="155">
      <c r="B155" s="1"/>
      <c r="C155" s="1"/>
      <c r="D155" s="1"/>
      <c r="E155" s="1"/>
      <c r="F155" s="1"/>
      <c r="G155" s="1"/>
      <c r="H155" s="1"/>
      <c r="I155" s="1"/>
      <c r="J155" s="1"/>
      <c r="K155" s="1"/>
      <c r="L155" s="1"/>
    </row>
    <row r="156">
      <c r="B156" s="1"/>
      <c r="C156" s="1"/>
      <c r="D156" s="1"/>
      <c r="E156" s="1"/>
      <c r="F156" s="1"/>
      <c r="G156" s="1"/>
      <c r="H156" s="1"/>
      <c r="I156" s="1"/>
      <c r="J156" s="1"/>
      <c r="K156" s="1"/>
      <c r="L156" s="1"/>
    </row>
    <row r="157">
      <c r="B157" s="1"/>
      <c r="C157" s="1"/>
      <c r="D157" s="1"/>
      <c r="E157" s="1"/>
      <c r="F157" s="1"/>
      <c r="G157" s="1"/>
      <c r="H157" s="1"/>
      <c r="I157" s="1"/>
      <c r="J157" s="1"/>
      <c r="K157" s="1"/>
      <c r="L157" s="1"/>
    </row>
    <row r="158">
      <c r="B158" s="1"/>
      <c r="C158" s="1"/>
      <c r="D158" s="1"/>
      <c r="E158" s="1"/>
      <c r="F158" s="1"/>
      <c r="G158" s="1"/>
      <c r="H158" s="1"/>
      <c r="I158" s="1"/>
      <c r="J158" s="1"/>
      <c r="K158" s="1"/>
      <c r="L158" s="1"/>
    </row>
    <row r="159">
      <c r="B159" s="1"/>
      <c r="C159" s="1"/>
      <c r="D159" s="1"/>
      <c r="E159" s="1"/>
      <c r="F159" s="1"/>
      <c r="G159" s="1"/>
      <c r="H159" s="1"/>
      <c r="I159" s="1"/>
      <c r="J159" s="1"/>
      <c r="K159" s="1"/>
      <c r="L159" s="1"/>
    </row>
    <row r="160">
      <c r="B160" s="1"/>
      <c r="C160" s="1"/>
      <c r="D160" s="1"/>
      <c r="E160" s="1"/>
      <c r="F160" s="1"/>
      <c r="G160" s="1"/>
      <c r="H160" s="1"/>
      <c r="I160" s="1"/>
      <c r="J160" s="1"/>
      <c r="K160" s="1"/>
      <c r="L160" s="1"/>
    </row>
    <row r="161">
      <c r="B161" s="1"/>
      <c r="C161" s="1"/>
      <c r="D161" s="1"/>
      <c r="E161" s="1"/>
      <c r="F161" s="1"/>
      <c r="G161" s="1"/>
      <c r="H161" s="1"/>
      <c r="I161" s="1"/>
      <c r="J161" s="1"/>
      <c r="K161" s="1"/>
      <c r="L161" s="1"/>
    </row>
    <row r="162">
      <c r="B162" s="1"/>
      <c r="C162" s="1"/>
      <c r="D162" s="1"/>
      <c r="E162" s="1"/>
      <c r="F162" s="1"/>
      <c r="G162" s="1"/>
      <c r="H162" s="1"/>
      <c r="I162" s="1"/>
      <c r="J162" s="1"/>
      <c r="K162" s="1"/>
      <c r="L162" s="1"/>
    </row>
    <row r="163">
      <c r="B163" s="1"/>
      <c r="C163" s="1"/>
      <c r="D163" s="1"/>
      <c r="E163" s="1"/>
      <c r="F163" s="1"/>
      <c r="G163" s="1"/>
      <c r="H163" s="1"/>
      <c r="I163" s="1"/>
      <c r="J163" s="1"/>
      <c r="K163" s="1"/>
      <c r="L163" s="1"/>
    </row>
    <row r="164">
      <c r="B164" s="1"/>
      <c r="C164" s="1"/>
      <c r="D164" s="1"/>
      <c r="E164" s="1"/>
      <c r="F164" s="1"/>
      <c r="G164" s="1"/>
      <c r="H164" s="1"/>
      <c r="I164" s="1"/>
      <c r="J164" s="1"/>
      <c r="K164" s="1"/>
      <c r="L164" s="1"/>
    </row>
    <row r="165">
      <c r="B165" s="1"/>
      <c r="C165" s="1"/>
      <c r="D165" s="1"/>
      <c r="E165" s="1"/>
      <c r="F165" s="1"/>
      <c r="G165" s="1"/>
      <c r="H165" s="1"/>
      <c r="I165" s="1"/>
      <c r="J165" s="1"/>
      <c r="K165" s="1"/>
      <c r="L165" s="1"/>
    </row>
    <row r="166">
      <c r="B166" s="1"/>
      <c r="C166" s="1"/>
      <c r="D166" s="1"/>
      <c r="E166" s="1"/>
      <c r="F166" s="1"/>
      <c r="G166" s="1"/>
      <c r="H166" s="1"/>
      <c r="I166" s="1"/>
      <c r="J166" s="1"/>
      <c r="K166" s="1"/>
      <c r="L166" s="1"/>
    </row>
    <row r="167">
      <c r="B167" s="1"/>
      <c r="C167" s="1"/>
      <c r="D167" s="1"/>
      <c r="E167" s="1"/>
      <c r="F167" s="1"/>
      <c r="G167" s="1"/>
      <c r="H167" s="1"/>
      <c r="I167" s="1"/>
      <c r="J167" s="1"/>
      <c r="K167" s="1"/>
      <c r="L167" s="1"/>
    </row>
    <row r="168">
      <c r="B168" s="1"/>
      <c r="C168" s="1"/>
      <c r="D168" s="1"/>
      <c r="E168" s="1"/>
      <c r="F168" s="1"/>
      <c r="G168" s="1"/>
      <c r="H168" s="1"/>
      <c r="I168" s="1"/>
      <c r="J168" s="1"/>
      <c r="K168" s="1"/>
      <c r="L168" s="1"/>
    </row>
    <row r="169">
      <c r="B169" s="1"/>
      <c r="C169" s="1"/>
      <c r="D169" s="1"/>
      <c r="E169" s="1"/>
      <c r="F169" s="1"/>
      <c r="G169" s="1"/>
      <c r="H169" s="1"/>
      <c r="I169" s="1"/>
      <c r="J169" s="1"/>
      <c r="K169" s="1"/>
      <c r="L169" s="1"/>
    </row>
    <row r="170">
      <c r="B170" s="1"/>
      <c r="C170" s="1"/>
      <c r="D170" s="1"/>
      <c r="E170" s="1"/>
      <c r="F170" s="1"/>
      <c r="G170" s="1"/>
      <c r="H170" s="1"/>
      <c r="I170" s="1"/>
      <c r="J170" s="1"/>
      <c r="K170" s="1"/>
      <c r="L170" s="1"/>
    </row>
    <row r="171">
      <c r="B171" s="1"/>
      <c r="C171" s="1"/>
      <c r="D171" s="1"/>
      <c r="E171" s="1"/>
      <c r="F171" s="1"/>
      <c r="G171" s="1"/>
      <c r="H171" s="1"/>
      <c r="I171" s="1"/>
      <c r="J171" s="1"/>
      <c r="K171" s="1"/>
      <c r="L171" s="1"/>
    </row>
    <row r="172">
      <c r="B172" s="1"/>
      <c r="C172" s="1"/>
      <c r="D172" s="1"/>
      <c r="E172" s="1"/>
      <c r="F172" s="1"/>
      <c r="G172" s="1"/>
      <c r="H172" s="1"/>
      <c r="I172" s="1"/>
      <c r="J172" s="1"/>
      <c r="K172" s="1"/>
      <c r="L172" s="1"/>
    </row>
    <row r="173">
      <c r="B173" s="1"/>
      <c r="C173" s="1"/>
      <c r="D173" s="1"/>
      <c r="E173" s="1"/>
      <c r="F173" s="1"/>
      <c r="G173" s="1"/>
      <c r="H173" s="1"/>
      <c r="I173" s="1"/>
      <c r="J173" s="1"/>
      <c r="K173" s="1"/>
      <c r="L173" s="1"/>
    </row>
    <row r="174">
      <c r="B174" s="1"/>
      <c r="C174" s="1"/>
      <c r="D174" s="1"/>
      <c r="E174" s="1"/>
      <c r="F174" s="1"/>
      <c r="G174" s="1"/>
      <c r="H174" s="1"/>
      <c r="I174" s="1"/>
      <c r="J174" s="1"/>
      <c r="K174" s="1"/>
      <c r="L174" s="1"/>
    </row>
    <row r="175">
      <c r="B175" s="1"/>
      <c r="C175" s="1"/>
      <c r="D175" s="1"/>
      <c r="E175" s="1"/>
      <c r="F175" s="1"/>
      <c r="G175" s="1"/>
      <c r="H175" s="1"/>
      <c r="I175" s="1"/>
      <c r="J175" s="1"/>
      <c r="K175" s="1"/>
      <c r="L175" s="1"/>
    </row>
    <row r="176">
      <c r="B176" s="1"/>
      <c r="C176" s="1"/>
      <c r="D176" s="1"/>
      <c r="E176" s="1"/>
      <c r="F176" s="1"/>
      <c r="G176" s="1"/>
      <c r="H176" s="1"/>
      <c r="I176" s="1"/>
      <c r="J176" s="1"/>
      <c r="K176" s="1"/>
      <c r="L176" s="1"/>
    </row>
    <row r="177">
      <c r="B177" s="1"/>
      <c r="C177" s="1"/>
      <c r="D177" s="1"/>
      <c r="E177" s="1"/>
      <c r="F177" s="1"/>
      <c r="G177" s="1"/>
      <c r="H177" s="1"/>
      <c r="I177" s="1"/>
      <c r="J177" s="1"/>
      <c r="K177" s="1"/>
      <c r="L177" s="1"/>
    </row>
    <row r="178">
      <c r="B178" s="1"/>
      <c r="C178" s="1"/>
      <c r="D178" s="1"/>
      <c r="E178" s="1"/>
      <c r="F178" s="1"/>
      <c r="G178" s="1"/>
      <c r="H178" s="1"/>
      <c r="I178" s="1"/>
      <c r="J178" s="1"/>
      <c r="K178" s="1"/>
      <c r="L178" s="1"/>
    </row>
    <row r="179">
      <c r="B179" s="1"/>
      <c r="C179" s="1"/>
      <c r="D179" s="1"/>
      <c r="E179" s="1"/>
      <c r="F179" s="1"/>
      <c r="G179" s="1"/>
      <c r="H179" s="1"/>
      <c r="I179" s="1"/>
      <c r="J179" s="1"/>
      <c r="K179" s="1"/>
      <c r="L179" s="1"/>
    </row>
    <row r="180">
      <c r="B180" s="1"/>
      <c r="C180" s="1"/>
      <c r="D180" s="1"/>
      <c r="E180" s="1"/>
      <c r="F180" s="1"/>
      <c r="G180" s="1"/>
      <c r="H180" s="1"/>
      <c r="I180" s="1"/>
      <c r="J180" s="1"/>
      <c r="K180" s="1"/>
      <c r="L180" s="1"/>
    </row>
    <row r="181">
      <c r="B181" s="1"/>
      <c r="C181" s="1"/>
      <c r="D181" s="1"/>
      <c r="E181" s="1"/>
      <c r="F181" s="1"/>
      <c r="G181" s="1"/>
      <c r="H181" s="1"/>
      <c r="I181" s="1"/>
      <c r="J181" s="1"/>
      <c r="K181" s="1"/>
      <c r="L181" s="1"/>
    </row>
    <row r="182">
      <c r="B182" s="1"/>
      <c r="C182" s="1"/>
      <c r="D182" s="1"/>
      <c r="E182" s="1"/>
      <c r="F182" s="1"/>
      <c r="G182" s="1"/>
      <c r="H182" s="1"/>
      <c r="I182" s="1"/>
      <c r="J182" s="1"/>
      <c r="K182" s="1"/>
      <c r="L182" s="1"/>
    </row>
    <row r="183">
      <c r="B183" s="1"/>
      <c r="C183" s="1"/>
      <c r="D183" s="1"/>
      <c r="E183" s="1"/>
      <c r="F183" s="1"/>
      <c r="G183" s="1"/>
      <c r="H183" s="1"/>
      <c r="I183" s="1"/>
      <c r="J183" s="1"/>
      <c r="K183" s="1"/>
      <c r="L183" s="1"/>
    </row>
    <row r="184">
      <c r="B184" s="1"/>
      <c r="C184" s="1"/>
      <c r="D184" s="1"/>
      <c r="E184" s="1"/>
      <c r="F184" s="1"/>
      <c r="G184" s="1"/>
      <c r="H184" s="1"/>
      <c r="I184" s="1"/>
      <c r="J184" s="1"/>
      <c r="K184" s="1"/>
      <c r="L184" s="1"/>
    </row>
    <row r="185">
      <c r="B185" s="1"/>
      <c r="C185" s="1"/>
      <c r="D185" s="1"/>
      <c r="E185" s="1"/>
      <c r="F185" s="1"/>
      <c r="G185" s="1"/>
      <c r="H185" s="1"/>
      <c r="I185" s="1"/>
      <c r="J185" s="1"/>
      <c r="K185" s="1"/>
      <c r="L185" s="1"/>
    </row>
    <row r="186">
      <c r="B186" s="1"/>
      <c r="C186" s="1"/>
      <c r="D186" s="1"/>
      <c r="E186" s="1"/>
      <c r="F186" s="1"/>
      <c r="G186" s="1"/>
      <c r="H186" s="1"/>
      <c r="I186" s="1"/>
      <c r="J186" s="1"/>
      <c r="K186" s="1"/>
      <c r="L186" s="1"/>
    </row>
    <row r="187">
      <c r="B187" s="1"/>
      <c r="C187" s="1"/>
      <c r="D187" s="1"/>
      <c r="E187" s="1"/>
      <c r="F187" s="1"/>
      <c r="G187" s="1"/>
      <c r="H187" s="1"/>
      <c r="I187" s="1"/>
      <c r="J187" s="1"/>
      <c r="K187" s="1"/>
      <c r="L187" s="1"/>
    </row>
    <row r="188">
      <c r="B188" s="1"/>
      <c r="C188" s="1"/>
      <c r="D188" s="1"/>
      <c r="E188" s="1"/>
      <c r="F188" s="1"/>
      <c r="G188" s="1"/>
      <c r="H188" s="1"/>
      <c r="I188" s="1"/>
      <c r="J188" s="1"/>
      <c r="K188" s="1"/>
      <c r="L188" s="1"/>
    </row>
    <row r="189">
      <c r="B189" s="1"/>
      <c r="C189" s="1"/>
      <c r="D189" s="1"/>
      <c r="E189" s="1"/>
      <c r="F189" s="1"/>
      <c r="G189" s="1"/>
      <c r="H189" s="1"/>
      <c r="I189" s="1"/>
      <c r="J189" s="1"/>
      <c r="K189" s="1"/>
      <c r="L189" s="1"/>
    </row>
    <row r="190">
      <c r="B190" s="1"/>
      <c r="C190" s="1"/>
      <c r="D190" s="1"/>
      <c r="E190" s="1"/>
      <c r="F190" s="1"/>
      <c r="G190" s="1"/>
      <c r="H190" s="1"/>
      <c r="I190" s="1"/>
      <c r="J190" s="1"/>
      <c r="K190" s="1"/>
      <c r="L190" s="1"/>
    </row>
    <row r="191">
      <c r="B191" s="1"/>
      <c r="C191" s="1"/>
      <c r="D191" s="1"/>
      <c r="E191" s="1"/>
      <c r="F191" s="1"/>
      <c r="G191" s="1"/>
      <c r="H191" s="1"/>
      <c r="I191" s="1"/>
      <c r="J191" s="1"/>
      <c r="K191" s="1"/>
      <c r="L191" s="1"/>
    </row>
    <row r="192">
      <c r="B192" s="1"/>
      <c r="C192" s="1"/>
      <c r="D192" s="1"/>
      <c r="E192" s="1"/>
      <c r="F192" s="1"/>
      <c r="G192" s="1"/>
      <c r="H192" s="1"/>
      <c r="I192" s="1"/>
      <c r="J192" s="1"/>
      <c r="K192" s="1"/>
      <c r="L192" s="1"/>
    </row>
    <row r="193">
      <c r="B193" s="1"/>
      <c r="C193" s="1"/>
      <c r="D193" s="1"/>
      <c r="E193" s="1"/>
      <c r="F193" s="1"/>
      <c r="G193" s="1"/>
      <c r="H193" s="1"/>
      <c r="I193" s="1"/>
      <c r="J193" s="1"/>
      <c r="K193" s="1"/>
      <c r="L193" s="1"/>
    </row>
    <row r="194">
      <c r="B194" s="1"/>
      <c r="C194" s="1"/>
      <c r="D194" s="1"/>
      <c r="E194" s="1"/>
      <c r="F194" s="1"/>
      <c r="G194" s="1"/>
      <c r="H194" s="1"/>
      <c r="I194" s="1"/>
      <c r="J194" s="1"/>
      <c r="K194" s="1"/>
      <c r="L194" s="1"/>
    </row>
    <row r="195">
      <c r="B195" s="1"/>
      <c r="C195" s="1"/>
      <c r="D195" s="1"/>
      <c r="E195" s="1"/>
      <c r="F195" s="1"/>
      <c r="G195" s="1"/>
      <c r="H195" s="1"/>
      <c r="I195" s="1"/>
      <c r="J195" s="1"/>
      <c r="K195" s="1"/>
      <c r="L195" s="1"/>
    </row>
    <row r="196">
      <c r="B196" s="1"/>
      <c r="C196" s="1"/>
      <c r="D196" s="1"/>
      <c r="E196" s="1"/>
      <c r="F196" s="1"/>
      <c r="G196" s="1"/>
      <c r="H196" s="1"/>
      <c r="I196" s="1"/>
      <c r="J196" s="1"/>
      <c r="K196" s="1"/>
      <c r="L196" s="1"/>
    </row>
    <row r="197">
      <c r="B197" s="1"/>
      <c r="C197" s="1"/>
      <c r="D197" s="1"/>
      <c r="E197" s="1"/>
      <c r="F197" s="1"/>
      <c r="G197" s="1"/>
      <c r="H197" s="1"/>
      <c r="I197" s="1"/>
      <c r="J197" s="1"/>
      <c r="K197" s="1"/>
      <c r="L197" s="1"/>
    </row>
    <row r="198">
      <c r="B198" s="1"/>
      <c r="C198" s="1"/>
      <c r="D198" s="1"/>
      <c r="E198" s="1"/>
      <c r="F198" s="1"/>
      <c r="G198" s="1"/>
      <c r="H198" s="1"/>
      <c r="I198" s="1"/>
      <c r="J198" s="1"/>
      <c r="K198" s="1"/>
      <c r="L198" s="1"/>
    </row>
    <row r="199">
      <c r="B199" s="1"/>
      <c r="C199" s="1"/>
      <c r="D199" s="1"/>
      <c r="E199" s="1"/>
      <c r="F199" s="1"/>
      <c r="G199" s="1"/>
      <c r="H199" s="1"/>
      <c r="I199" s="1"/>
      <c r="J199" s="1"/>
      <c r="K199" s="1"/>
      <c r="L199" s="1"/>
    </row>
    <row r="200">
      <c r="B200" s="1"/>
      <c r="C200" s="1"/>
      <c r="D200" s="1"/>
      <c r="E200" s="1"/>
      <c r="F200" s="1"/>
      <c r="G200" s="1"/>
      <c r="H200" s="1"/>
      <c r="I200" s="1"/>
      <c r="J200" s="1"/>
      <c r="K200" s="1"/>
      <c r="L200" s="1"/>
    </row>
    <row r="201">
      <c r="B201" s="1"/>
      <c r="C201" s="1"/>
      <c r="D201" s="1"/>
      <c r="E201" s="1"/>
      <c r="F201" s="1"/>
      <c r="G201" s="1"/>
      <c r="H201" s="1"/>
      <c r="I201" s="1"/>
      <c r="J201" s="1"/>
      <c r="K201" s="1"/>
      <c r="L201" s="1"/>
    </row>
    <row r="202">
      <c r="B202" s="1"/>
      <c r="C202" s="1"/>
      <c r="D202" s="1"/>
      <c r="E202" s="1"/>
      <c r="F202" s="1"/>
      <c r="G202" s="1"/>
      <c r="H202" s="1"/>
      <c r="I202" s="1"/>
      <c r="J202" s="1"/>
      <c r="K202" s="1"/>
      <c r="L202" s="1"/>
    </row>
    <row r="203">
      <c r="B203" s="1"/>
      <c r="C203" s="1"/>
      <c r="D203" s="1"/>
      <c r="E203" s="1"/>
      <c r="F203" s="1"/>
      <c r="G203" s="1"/>
      <c r="H203" s="1"/>
      <c r="I203" s="1"/>
      <c r="J203" s="1"/>
      <c r="K203" s="1"/>
      <c r="L203" s="1"/>
    </row>
    <row r="204">
      <c r="B204" s="1"/>
      <c r="C204" s="1"/>
      <c r="D204" s="1"/>
      <c r="E204" s="1"/>
      <c r="F204" s="1"/>
      <c r="G204" s="1"/>
      <c r="H204" s="1"/>
      <c r="I204" s="1"/>
      <c r="J204" s="1"/>
      <c r="K204" s="1"/>
      <c r="L204" s="1"/>
    </row>
    <row r="205">
      <c r="B205" s="1"/>
      <c r="C205" s="1"/>
      <c r="D205" s="1"/>
      <c r="E205" s="1"/>
      <c r="F205" s="1"/>
      <c r="G205" s="1"/>
      <c r="H205" s="1"/>
      <c r="I205" s="1"/>
      <c r="J205" s="1"/>
      <c r="K205" s="1"/>
      <c r="L205" s="1"/>
    </row>
    <row r="206">
      <c r="B206" s="1"/>
      <c r="C206" s="1"/>
      <c r="D206" s="1"/>
      <c r="E206" s="1"/>
      <c r="F206" s="1"/>
      <c r="G206" s="1"/>
      <c r="H206" s="1"/>
      <c r="I206" s="1"/>
      <c r="J206" s="1"/>
      <c r="K206" s="1"/>
      <c r="L206" s="1"/>
    </row>
    <row r="207">
      <c r="B207" s="1"/>
      <c r="C207" s="1"/>
      <c r="D207" s="1"/>
      <c r="E207" s="1"/>
      <c r="F207" s="1"/>
      <c r="G207" s="1"/>
      <c r="H207" s="1"/>
      <c r="I207" s="1"/>
      <c r="J207" s="1"/>
      <c r="K207" s="1"/>
      <c r="L207" s="1"/>
    </row>
    <row r="208">
      <c r="B208" s="1"/>
      <c r="C208" s="1"/>
      <c r="D208" s="1"/>
      <c r="E208" s="1"/>
      <c r="F208" s="1"/>
      <c r="G208" s="1"/>
      <c r="H208" s="1"/>
      <c r="I208" s="1"/>
      <c r="J208" s="1"/>
      <c r="K208" s="1"/>
      <c r="L208" s="1"/>
    </row>
    <row r="209">
      <c r="B209" s="1"/>
      <c r="C209" s="1"/>
      <c r="D209" s="1"/>
      <c r="E209" s="1"/>
      <c r="F209" s="1"/>
      <c r="G209" s="1"/>
      <c r="H209" s="1"/>
      <c r="I209" s="1"/>
      <c r="J209" s="1"/>
      <c r="K209" s="1"/>
      <c r="L209" s="1"/>
    </row>
    <row r="210">
      <c r="B210" s="1"/>
      <c r="C210" s="1"/>
      <c r="D210" s="1"/>
      <c r="E210" s="1"/>
      <c r="F210" s="1"/>
      <c r="G210" s="1"/>
      <c r="H210" s="1"/>
      <c r="I210" s="1"/>
      <c r="J210" s="1"/>
      <c r="K210" s="1"/>
      <c r="L210" s="1"/>
    </row>
    <row r="211">
      <c r="B211" s="1"/>
      <c r="C211" s="1"/>
      <c r="D211" s="1"/>
      <c r="E211" s="1"/>
      <c r="F211" s="1"/>
      <c r="G211" s="1"/>
      <c r="H211" s="1"/>
      <c r="I211" s="1"/>
      <c r="J211" s="1"/>
      <c r="K211" s="1"/>
      <c r="L211" s="1"/>
    </row>
    <row r="212">
      <c r="B212" s="1"/>
      <c r="C212" s="1"/>
      <c r="D212" s="1"/>
      <c r="E212" s="1"/>
      <c r="F212" s="1"/>
      <c r="G212" s="1"/>
      <c r="H212" s="1"/>
      <c r="I212" s="1"/>
      <c r="J212" s="1"/>
      <c r="K212" s="1"/>
      <c r="L212" s="1"/>
    </row>
    <row r="213">
      <c r="B213" s="1"/>
      <c r="C213" s="1"/>
      <c r="D213" s="1"/>
      <c r="E213" s="1"/>
      <c r="F213" s="1"/>
      <c r="G213" s="1"/>
      <c r="H213" s="1"/>
      <c r="I213" s="1"/>
      <c r="J213" s="1"/>
      <c r="K213" s="1"/>
      <c r="L213" s="1"/>
    </row>
    <row r="214">
      <c r="B214" s="1"/>
      <c r="C214" s="1"/>
      <c r="D214" s="1"/>
      <c r="E214" s="1"/>
      <c r="F214" s="1"/>
      <c r="G214" s="1"/>
      <c r="H214" s="1"/>
      <c r="I214" s="1"/>
      <c r="J214" s="1"/>
      <c r="K214" s="1"/>
      <c r="L214" s="1"/>
    </row>
    <row r="215">
      <c r="B215" s="1"/>
      <c r="C215" s="1"/>
      <c r="D215" s="1"/>
      <c r="E215" s="1"/>
      <c r="F215" s="1"/>
      <c r="G215" s="1"/>
      <c r="H215" s="1"/>
      <c r="I215" s="1"/>
      <c r="J215" s="1"/>
      <c r="K215" s="1"/>
      <c r="L215" s="1"/>
    </row>
    <row r="216">
      <c r="B216" s="1"/>
      <c r="C216" s="1"/>
      <c r="D216" s="1"/>
      <c r="E216" s="1"/>
      <c r="F216" s="1"/>
      <c r="G216" s="1"/>
      <c r="H216" s="1"/>
      <c r="I216" s="1"/>
      <c r="J216" s="1"/>
      <c r="K216" s="1"/>
      <c r="L216" s="1"/>
    </row>
    <row r="217">
      <c r="B217" s="1"/>
      <c r="C217" s="1"/>
      <c r="D217" s="1"/>
      <c r="E217" s="1"/>
      <c r="F217" s="1"/>
      <c r="G217" s="1"/>
      <c r="H217" s="1"/>
      <c r="I217" s="1"/>
      <c r="J217" s="1"/>
      <c r="K217" s="1"/>
      <c r="L217" s="1"/>
    </row>
    <row r="218">
      <c r="B218" s="1"/>
      <c r="C218" s="1"/>
      <c r="D218" s="1"/>
      <c r="E218" s="1"/>
      <c r="F218" s="1"/>
      <c r="G218" s="1"/>
      <c r="H218" s="1"/>
      <c r="I218" s="1"/>
      <c r="J218" s="1"/>
      <c r="K218" s="1"/>
      <c r="L218" s="1"/>
    </row>
    <row r="219">
      <c r="B219" s="1"/>
      <c r="C219" s="1"/>
      <c r="D219" s="1"/>
      <c r="E219" s="1"/>
      <c r="F219" s="1"/>
      <c r="G219" s="1"/>
      <c r="H219" s="1"/>
      <c r="I219" s="1"/>
      <c r="J219" s="1"/>
      <c r="K219" s="1"/>
      <c r="L219" s="1"/>
    </row>
    <row r="220">
      <c r="B220" s="1"/>
      <c r="C220" s="1"/>
      <c r="D220" s="1"/>
      <c r="E220" s="1"/>
      <c r="F220" s="1"/>
      <c r="G220" s="1"/>
      <c r="H220" s="1"/>
      <c r="I220" s="1"/>
      <c r="J220" s="1"/>
      <c r="K220" s="1"/>
      <c r="L220" s="1"/>
    </row>
    <row r="221">
      <c r="B221" s="1"/>
      <c r="C221" s="1"/>
      <c r="D221" s="1"/>
      <c r="E221" s="1"/>
      <c r="F221" s="1"/>
      <c r="G221" s="1"/>
      <c r="H221" s="1"/>
      <c r="I221" s="1"/>
      <c r="J221" s="1"/>
      <c r="K221" s="1"/>
      <c r="L221" s="1"/>
    </row>
    <row r="222">
      <c r="B222" s="1"/>
      <c r="C222" s="1"/>
      <c r="D222" s="1"/>
      <c r="E222" s="1"/>
      <c r="F222" s="1"/>
      <c r="G222" s="1"/>
      <c r="H222" s="1"/>
      <c r="I222" s="1"/>
      <c r="J222" s="1"/>
      <c r="K222" s="1"/>
      <c r="L222" s="1"/>
    </row>
    <row r="223">
      <c r="B223" s="1"/>
      <c r="C223" s="1"/>
      <c r="D223" s="1"/>
      <c r="E223" s="1"/>
      <c r="F223" s="1"/>
      <c r="G223" s="1"/>
      <c r="H223" s="1"/>
      <c r="I223" s="1"/>
      <c r="J223" s="1"/>
      <c r="K223" s="1"/>
      <c r="L223" s="1"/>
    </row>
    <row r="224">
      <c r="B224" s="1"/>
      <c r="C224" s="1"/>
      <c r="D224" s="1"/>
      <c r="E224" s="1"/>
      <c r="F224" s="1"/>
      <c r="G224" s="1"/>
      <c r="H224" s="1"/>
      <c r="I224" s="1"/>
      <c r="J224" s="1"/>
      <c r="K224" s="1"/>
      <c r="L224" s="1"/>
    </row>
    <row r="225">
      <c r="B225" s="1"/>
      <c r="C225" s="1"/>
      <c r="D225" s="1"/>
      <c r="E225" s="1"/>
      <c r="F225" s="1"/>
      <c r="G225" s="1"/>
      <c r="H225" s="1"/>
      <c r="I225" s="1"/>
      <c r="J225" s="1"/>
      <c r="K225" s="1"/>
      <c r="L225" s="1"/>
    </row>
    <row r="226">
      <c r="B226" s="1"/>
      <c r="C226" s="1"/>
      <c r="D226" s="1"/>
      <c r="E226" s="1"/>
      <c r="F226" s="1"/>
      <c r="G226" s="1"/>
      <c r="H226" s="1"/>
      <c r="I226" s="1"/>
      <c r="J226" s="1"/>
      <c r="K226" s="1"/>
      <c r="L226" s="1"/>
    </row>
    <row r="227">
      <c r="B227" s="1"/>
      <c r="C227" s="1"/>
      <c r="D227" s="1"/>
      <c r="E227" s="1"/>
      <c r="F227" s="1"/>
      <c r="G227" s="1"/>
      <c r="H227" s="1"/>
      <c r="I227" s="1"/>
      <c r="J227" s="1"/>
      <c r="K227" s="1"/>
      <c r="L227" s="1"/>
    </row>
    <row r="228">
      <c r="B228" s="1"/>
      <c r="C228" s="1"/>
      <c r="D228" s="1"/>
      <c r="E228" s="1"/>
      <c r="F228" s="1"/>
      <c r="G228" s="1"/>
      <c r="H228" s="1"/>
      <c r="I228" s="1"/>
      <c r="J228" s="1"/>
      <c r="K228" s="1"/>
      <c r="L228" s="1"/>
    </row>
    <row r="229">
      <c r="B229" s="1"/>
      <c r="C229" s="1"/>
      <c r="D229" s="1"/>
      <c r="E229" s="1"/>
      <c r="F229" s="1"/>
      <c r="G229" s="1"/>
      <c r="H229" s="1"/>
      <c r="I229" s="1"/>
      <c r="J229" s="1"/>
      <c r="K229" s="1"/>
      <c r="L229" s="1"/>
    </row>
    <row r="230">
      <c r="B230" s="1"/>
      <c r="C230" s="1"/>
      <c r="D230" s="1"/>
      <c r="E230" s="1"/>
      <c r="F230" s="1"/>
      <c r="G230" s="1"/>
      <c r="H230" s="1"/>
      <c r="I230" s="1"/>
      <c r="J230" s="1"/>
      <c r="K230" s="1"/>
      <c r="L230" s="1"/>
    </row>
    <row r="231">
      <c r="B231" s="1"/>
      <c r="C231" s="1"/>
      <c r="D231" s="1"/>
      <c r="E231" s="1"/>
      <c r="F231" s="1"/>
      <c r="G231" s="1"/>
      <c r="H231" s="1"/>
      <c r="I231" s="1"/>
      <c r="J231" s="1"/>
      <c r="K231" s="1"/>
      <c r="L231" s="1"/>
    </row>
    <row r="232">
      <c r="B232" s="1"/>
      <c r="C232" s="1"/>
      <c r="D232" s="1"/>
      <c r="E232" s="1"/>
      <c r="F232" s="1"/>
      <c r="G232" s="1"/>
      <c r="H232" s="1"/>
      <c r="I232" s="1"/>
      <c r="J232" s="1"/>
      <c r="K232" s="1"/>
      <c r="L232" s="1"/>
    </row>
    <row r="233">
      <c r="B233" s="1"/>
      <c r="C233" s="1"/>
      <c r="D233" s="1"/>
      <c r="E233" s="1"/>
      <c r="F233" s="1"/>
      <c r="G233" s="1"/>
      <c r="H233" s="1"/>
      <c r="I233" s="1"/>
      <c r="J233" s="1"/>
      <c r="K233" s="1"/>
      <c r="L233" s="1"/>
    </row>
    <row r="234">
      <c r="B234" s="1"/>
      <c r="C234" s="1"/>
      <c r="D234" s="1"/>
      <c r="E234" s="1"/>
      <c r="F234" s="1"/>
      <c r="G234" s="1"/>
      <c r="H234" s="1"/>
      <c r="I234" s="1"/>
      <c r="J234" s="1"/>
      <c r="K234" s="1"/>
      <c r="L234" s="1"/>
    </row>
    <row r="235">
      <c r="B235" s="1"/>
      <c r="C235" s="1"/>
      <c r="D235" s="1"/>
      <c r="E235" s="1"/>
      <c r="F235" s="1"/>
      <c r="G235" s="1"/>
      <c r="H235" s="1"/>
      <c r="I235" s="1"/>
      <c r="J235" s="1"/>
      <c r="K235" s="1"/>
      <c r="L235" s="1"/>
    </row>
    <row r="236">
      <c r="B236" s="1"/>
      <c r="C236" s="1"/>
      <c r="D236" s="1"/>
      <c r="E236" s="1"/>
      <c r="F236" s="1"/>
      <c r="G236" s="1"/>
      <c r="H236" s="1"/>
      <c r="I236" s="1"/>
      <c r="J236" s="1"/>
      <c r="K236" s="1"/>
      <c r="L236" s="1"/>
    </row>
    <row r="237">
      <c r="B237" s="1"/>
      <c r="C237" s="1"/>
      <c r="D237" s="1"/>
      <c r="E237" s="1"/>
      <c r="F237" s="1"/>
      <c r="G237" s="1"/>
      <c r="H237" s="1"/>
      <c r="I237" s="1"/>
      <c r="J237" s="1"/>
      <c r="K237" s="1"/>
      <c r="L237" s="1"/>
    </row>
    <row r="238">
      <c r="B238" s="1"/>
      <c r="C238" s="1"/>
      <c r="D238" s="1"/>
      <c r="E238" s="1"/>
      <c r="F238" s="1"/>
      <c r="G238" s="1"/>
      <c r="H238" s="1"/>
      <c r="I238" s="1"/>
      <c r="J238" s="1"/>
      <c r="K238" s="1"/>
      <c r="L238" s="1"/>
    </row>
    <row r="239">
      <c r="B239" s="1"/>
      <c r="C239" s="1"/>
      <c r="D239" s="1"/>
      <c r="E239" s="1"/>
      <c r="F239" s="1"/>
      <c r="G239" s="1"/>
      <c r="H239" s="1"/>
      <c r="I239" s="1"/>
      <c r="J239" s="1"/>
      <c r="K239" s="1"/>
      <c r="L239" s="1"/>
    </row>
    <row r="240">
      <c r="B240" s="1"/>
      <c r="C240" s="1"/>
      <c r="D240" s="1"/>
      <c r="E240" s="1"/>
      <c r="F240" s="1"/>
      <c r="G240" s="1"/>
      <c r="H240" s="1"/>
      <c r="I240" s="1"/>
      <c r="J240" s="1"/>
      <c r="K240" s="1"/>
      <c r="L240" s="1"/>
    </row>
    <row r="241">
      <c r="B241" s="1"/>
      <c r="C241" s="1"/>
      <c r="D241" s="1"/>
      <c r="E241" s="1"/>
      <c r="F241" s="1"/>
      <c r="G241" s="1"/>
      <c r="H241" s="1"/>
      <c r="I241" s="1"/>
      <c r="J241" s="1"/>
      <c r="K241" s="1"/>
      <c r="L241" s="1"/>
    </row>
    <row r="242">
      <c r="B242" s="1"/>
      <c r="C242" s="1"/>
      <c r="D242" s="1"/>
      <c r="E242" s="1"/>
      <c r="F242" s="1"/>
      <c r="G242" s="1"/>
      <c r="H242" s="1"/>
      <c r="I242" s="1"/>
      <c r="J242" s="1"/>
      <c r="K242" s="1"/>
      <c r="L242" s="1"/>
    </row>
    <row r="243">
      <c r="B243" s="1"/>
      <c r="C243" s="1"/>
      <c r="D243" s="1"/>
      <c r="E243" s="1"/>
      <c r="F243" s="1"/>
      <c r="G243" s="1"/>
      <c r="H243" s="1"/>
      <c r="I243" s="1"/>
      <c r="J243" s="1"/>
      <c r="K243" s="1"/>
      <c r="L243" s="1"/>
    </row>
    <row r="244">
      <c r="B244" s="1"/>
      <c r="C244" s="1"/>
      <c r="D244" s="1"/>
      <c r="E244" s="1"/>
      <c r="F244" s="1"/>
      <c r="G244" s="1"/>
      <c r="H244" s="1"/>
      <c r="I244" s="1"/>
      <c r="J244" s="1"/>
      <c r="K244" s="1"/>
      <c r="L244" s="1"/>
    </row>
    <row r="245">
      <c r="B245" s="1"/>
      <c r="C245" s="1"/>
      <c r="D245" s="1"/>
      <c r="E245" s="1"/>
      <c r="F245" s="1"/>
      <c r="G245" s="1"/>
      <c r="H245" s="1"/>
      <c r="I245" s="1"/>
      <c r="J245" s="1"/>
      <c r="K245" s="1"/>
      <c r="L245" s="1"/>
    </row>
    <row r="246">
      <c r="B246" s="1"/>
      <c r="C246" s="1"/>
      <c r="D246" s="1"/>
      <c r="E246" s="1"/>
      <c r="F246" s="1"/>
      <c r="G246" s="1"/>
      <c r="H246" s="1"/>
      <c r="I246" s="1"/>
      <c r="J246" s="1"/>
      <c r="K246" s="1"/>
      <c r="L246" s="1"/>
    </row>
    <row r="247">
      <c r="B247" s="1"/>
      <c r="C247" s="1"/>
      <c r="D247" s="1"/>
      <c r="E247" s="1"/>
      <c r="F247" s="1"/>
      <c r="G247" s="1"/>
      <c r="H247" s="1"/>
      <c r="I247" s="1"/>
      <c r="J247" s="1"/>
      <c r="K247" s="1"/>
      <c r="L247" s="1"/>
    </row>
    <row r="248">
      <c r="B248" s="1"/>
      <c r="C248" s="1"/>
      <c r="D248" s="1"/>
      <c r="E248" s="1"/>
      <c r="F248" s="1"/>
      <c r="G248" s="1"/>
      <c r="H248" s="1"/>
      <c r="I248" s="1"/>
      <c r="J248" s="1"/>
      <c r="K248" s="1"/>
      <c r="L248" s="1"/>
    </row>
    <row r="249">
      <c r="B249" s="1"/>
      <c r="C249" s="1"/>
      <c r="D249" s="1"/>
      <c r="E249" s="1"/>
      <c r="F249" s="1"/>
      <c r="G249" s="1"/>
      <c r="H249" s="1"/>
      <c r="I249" s="1"/>
      <c r="J249" s="1"/>
      <c r="K249" s="1"/>
      <c r="L249" s="1"/>
    </row>
    <row r="250">
      <c r="B250" s="1"/>
      <c r="C250" s="1"/>
      <c r="D250" s="1"/>
      <c r="E250" s="1"/>
      <c r="F250" s="1"/>
      <c r="G250" s="1"/>
      <c r="H250" s="1"/>
      <c r="I250" s="1"/>
      <c r="J250" s="1"/>
      <c r="K250" s="1"/>
      <c r="L250" s="1"/>
    </row>
    <row r="251">
      <c r="B251" s="1"/>
      <c r="C251" s="1"/>
      <c r="D251" s="1"/>
      <c r="E251" s="1"/>
      <c r="F251" s="1"/>
      <c r="G251" s="1"/>
      <c r="H251" s="1"/>
      <c r="I251" s="1"/>
      <c r="J251" s="1"/>
      <c r="K251" s="1"/>
      <c r="L251" s="1"/>
    </row>
    <row r="252">
      <c r="B252" s="1"/>
      <c r="C252" s="1"/>
      <c r="D252" s="1"/>
      <c r="E252" s="1"/>
      <c r="F252" s="1"/>
      <c r="G252" s="1"/>
      <c r="H252" s="1"/>
      <c r="I252" s="1"/>
      <c r="J252" s="1"/>
      <c r="K252" s="1"/>
      <c r="L252" s="1"/>
    </row>
    <row r="253">
      <c r="B253" s="1"/>
      <c r="C253" s="1"/>
      <c r="D253" s="1"/>
      <c r="E253" s="1"/>
      <c r="F253" s="1"/>
      <c r="G253" s="1"/>
      <c r="H253" s="1"/>
      <c r="I253" s="1"/>
      <c r="J253" s="1"/>
      <c r="K253" s="1"/>
      <c r="L253" s="1"/>
    </row>
    <row r="254">
      <c r="B254" s="1"/>
      <c r="C254" s="1"/>
      <c r="D254" s="1"/>
      <c r="E254" s="1"/>
      <c r="F254" s="1"/>
      <c r="G254" s="1"/>
      <c r="H254" s="1"/>
      <c r="I254" s="1"/>
      <c r="J254" s="1"/>
      <c r="K254" s="1"/>
      <c r="L254" s="1"/>
    </row>
    <row r="255">
      <c r="B255" s="1"/>
      <c r="C255" s="1"/>
      <c r="D255" s="1"/>
      <c r="E255" s="1"/>
      <c r="F255" s="1"/>
      <c r="G255" s="1"/>
      <c r="H255" s="1"/>
      <c r="I255" s="1"/>
      <c r="J255" s="1"/>
      <c r="K255" s="1"/>
      <c r="L255" s="1"/>
    </row>
    <row r="256">
      <c r="B256" s="1"/>
      <c r="C256" s="1"/>
      <c r="D256" s="1"/>
      <c r="E256" s="1"/>
      <c r="F256" s="1"/>
      <c r="G256" s="1"/>
      <c r="H256" s="1"/>
      <c r="I256" s="1"/>
      <c r="J256" s="1"/>
      <c r="K256" s="1"/>
      <c r="L256" s="1"/>
    </row>
    <row r="257">
      <c r="B257" s="1"/>
      <c r="C257" s="1"/>
      <c r="D257" s="1"/>
      <c r="E257" s="1"/>
      <c r="F257" s="1"/>
      <c r="G257" s="1"/>
      <c r="H257" s="1"/>
      <c r="I257" s="1"/>
      <c r="J257" s="1"/>
      <c r="K257" s="1"/>
      <c r="L257" s="1"/>
    </row>
    <row r="258">
      <c r="B258" s="1"/>
      <c r="C258" s="1"/>
      <c r="D258" s="1"/>
      <c r="E258" s="1"/>
      <c r="F258" s="1"/>
      <c r="G258" s="1"/>
      <c r="H258" s="1"/>
      <c r="I258" s="1"/>
      <c r="J258" s="1"/>
      <c r="K258" s="1"/>
      <c r="L258" s="1"/>
    </row>
    <row r="259">
      <c r="B259" s="1"/>
      <c r="C259" s="1"/>
      <c r="D259" s="1"/>
      <c r="E259" s="1"/>
      <c r="F259" s="1"/>
      <c r="G259" s="1"/>
      <c r="H259" s="1"/>
      <c r="I259" s="1"/>
      <c r="J259" s="1"/>
      <c r="K259" s="1"/>
      <c r="L259" s="1"/>
    </row>
    <row r="260">
      <c r="B260" s="1"/>
      <c r="C260" s="1"/>
      <c r="D260" s="1"/>
      <c r="E260" s="1"/>
      <c r="F260" s="1"/>
      <c r="G260" s="1"/>
      <c r="H260" s="1"/>
      <c r="I260" s="1"/>
      <c r="J260" s="1"/>
      <c r="K260" s="1"/>
      <c r="L260" s="1"/>
    </row>
    <row r="261">
      <c r="B261" s="1"/>
      <c r="C261" s="1"/>
      <c r="D261" s="1"/>
      <c r="E261" s="1"/>
      <c r="F261" s="1"/>
      <c r="G261" s="1"/>
      <c r="H261" s="1"/>
      <c r="I261" s="1"/>
      <c r="J261" s="1"/>
      <c r="K261" s="1"/>
      <c r="L261" s="1"/>
    </row>
    <row r="262">
      <c r="B262" s="1"/>
      <c r="C262" s="1"/>
      <c r="D262" s="1"/>
      <c r="E262" s="1"/>
      <c r="F262" s="1"/>
      <c r="G262" s="1"/>
      <c r="H262" s="1"/>
      <c r="I262" s="1"/>
      <c r="J262" s="1"/>
      <c r="K262" s="1"/>
      <c r="L262" s="1"/>
    </row>
    <row r="263">
      <c r="B263" s="1"/>
      <c r="C263" s="1"/>
      <c r="D263" s="1"/>
      <c r="E263" s="1"/>
      <c r="F263" s="1"/>
      <c r="G263" s="1"/>
      <c r="H263" s="1"/>
      <c r="I263" s="1"/>
      <c r="J263" s="1"/>
      <c r="K263" s="1"/>
      <c r="L263" s="1"/>
    </row>
    <row r="264">
      <c r="B264" s="1"/>
      <c r="C264" s="1"/>
      <c r="D264" s="1"/>
      <c r="E264" s="1"/>
      <c r="F264" s="1"/>
      <c r="G264" s="1"/>
      <c r="H264" s="1"/>
      <c r="I264" s="1"/>
      <c r="J264" s="1"/>
      <c r="K264" s="1"/>
      <c r="L264" s="1"/>
    </row>
    <row r="265">
      <c r="B265" s="1"/>
      <c r="C265" s="1"/>
      <c r="D265" s="1"/>
      <c r="E265" s="1"/>
      <c r="F265" s="1"/>
      <c r="G265" s="1"/>
      <c r="H265" s="1"/>
      <c r="I265" s="1"/>
      <c r="J265" s="1"/>
      <c r="K265" s="1"/>
      <c r="L265" s="1"/>
    </row>
    <row r="266">
      <c r="B266" s="1"/>
      <c r="C266" s="1"/>
      <c r="D266" s="1"/>
      <c r="E266" s="1"/>
      <c r="F266" s="1"/>
      <c r="G266" s="1"/>
      <c r="H266" s="1"/>
      <c r="I266" s="1"/>
      <c r="J266" s="1"/>
      <c r="K266" s="1"/>
      <c r="L266" s="1"/>
    </row>
    <row r="267">
      <c r="B267" s="1"/>
      <c r="C267" s="1"/>
      <c r="D267" s="1"/>
      <c r="E267" s="1"/>
      <c r="F267" s="1"/>
      <c r="G267" s="1"/>
      <c r="H267" s="1"/>
      <c r="I267" s="1"/>
      <c r="J267" s="1"/>
      <c r="K267" s="1"/>
      <c r="L267" s="1"/>
    </row>
    <row r="268">
      <c r="B268" s="1"/>
      <c r="C268" s="1"/>
      <c r="D268" s="1"/>
      <c r="E268" s="1"/>
      <c r="F268" s="1"/>
      <c r="G268" s="1"/>
      <c r="H268" s="1"/>
      <c r="I268" s="1"/>
      <c r="J268" s="1"/>
      <c r="K268" s="1"/>
      <c r="L268" s="1"/>
    </row>
    <row r="269">
      <c r="B269" s="1"/>
      <c r="C269" s="1"/>
      <c r="D269" s="1"/>
      <c r="E269" s="1"/>
      <c r="F269" s="1"/>
      <c r="G269" s="1"/>
      <c r="H269" s="1"/>
      <c r="I269" s="1"/>
      <c r="J269" s="1"/>
      <c r="K269" s="1"/>
      <c r="L269" s="1"/>
    </row>
    <row r="270">
      <c r="B270" s="1"/>
      <c r="C270" s="1"/>
      <c r="D270" s="1"/>
      <c r="E270" s="1"/>
      <c r="F270" s="1"/>
      <c r="G270" s="1"/>
      <c r="H270" s="1"/>
      <c r="I270" s="1"/>
      <c r="J270" s="1"/>
      <c r="K270" s="1"/>
      <c r="L270" s="1"/>
    </row>
    <row r="271">
      <c r="B271" s="1"/>
      <c r="C271" s="1"/>
      <c r="D271" s="1"/>
      <c r="E271" s="1"/>
      <c r="F271" s="1"/>
      <c r="G271" s="1"/>
      <c r="H271" s="1"/>
      <c r="I271" s="1"/>
      <c r="J271" s="1"/>
      <c r="K271" s="1"/>
      <c r="L271" s="1"/>
    </row>
    <row r="272">
      <c r="B272" s="1"/>
      <c r="C272" s="1"/>
      <c r="D272" s="1"/>
      <c r="E272" s="1"/>
      <c r="F272" s="1"/>
      <c r="G272" s="1"/>
      <c r="H272" s="1"/>
      <c r="I272" s="1"/>
      <c r="J272" s="1"/>
      <c r="K272" s="1"/>
      <c r="L272" s="1"/>
    </row>
    <row r="273">
      <c r="B273" s="1"/>
      <c r="C273" s="1"/>
      <c r="D273" s="1"/>
      <c r="E273" s="1"/>
      <c r="F273" s="1"/>
      <c r="G273" s="1"/>
      <c r="H273" s="1"/>
      <c r="I273" s="1"/>
      <c r="J273" s="1"/>
      <c r="K273" s="1"/>
      <c r="L273" s="1"/>
    </row>
    <row r="274">
      <c r="B274" s="1"/>
      <c r="C274" s="1"/>
      <c r="D274" s="1"/>
      <c r="E274" s="1"/>
      <c r="F274" s="1"/>
      <c r="G274" s="1"/>
      <c r="H274" s="1"/>
      <c r="I274" s="1"/>
      <c r="J274" s="1"/>
      <c r="K274" s="1"/>
      <c r="L274" s="1"/>
    </row>
    <row r="275">
      <c r="B275" s="1"/>
      <c r="C275" s="1"/>
      <c r="D275" s="1"/>
      <c r="E275" s="1"/>
      <c r="F275" s="1"/>
      <c r="G275" s="1"/>
      <c r="H275" s="1"/>
      <c r="I275" s="1"/>
      <c r="J275" s="1"/>
      <c r="K275" s="1"/>
      <c r="L275" s="1"/>
    </row>
    <row r="276">
      <c r="B276" s="1"/>
      <c r="C276" s="1"/>
      <c r="D276" s="1"/>
      <c r="E276" s="1"/>
      <c r="F276" s="1"/>
      <c r="G276" s="1"/>
      <c r="H276" s="1"/>
      <c r="I276" s="1"/>
      <c r="J276" s="1"/>
      <c r="K276" s="1"/>
      <c r="L276" s="1"/>
    </row>
    <row r="277">
      <c r="B277" s="1"/>
      <c r="C277" s="1"/>
      <c r="D277" s="1"/>
      <c r="E277" s="1"/>
      <c r="F277" s="1"/>
      <c r="G277" s="1"/>
      <c r="H277" s="1"/>
      <c r="I277" s="1"/>
      <c r="J277" s="1"/>
      <c r="K277" s="1"/>
      <c r="L277" s="1"/>
    </row>
    <row r="278">
      <c r="B278" s="1"/>
      <c r="C278" s="1"/>
      <c r="D278" s="1"/>
      <c r="E278" s="1"/>
      <c r="F278" s="1"/>
      <c r="G278" s="1"/>
      <c r="H278" s="1"/>
      <c r="I278" s="1"/>
      <c r="J278" s="1"/>
      <c r="K278" s="1"/>
      <c r="L278" s="1"/>
    </row>
    <row r="279">
      <c r="B279" s="1"/>
      <c r="C279" s="1"/>
      <c r="D279" s="1"/>
      <c r="E279" s="1"/>
      <c r="F279" s="1"/>
      <c r="G279" s="1"/>
      <c r="H279" s="1"/>
      <c r="I279" s="1"/>
      <c r="J279" s="1"/>
      <c r="K279" s="1"/>
      <c r="L279" s="1"/>
    </row>
    <row r="280">
      <c r="B280" s="1"/>
      <c r="C280" s="1"/>
      <c r="D280" s="1"/>
      <c r="E280" s="1"/>
      <c r="F280" s="1"/>
      <c r="G280" s="1"/>
      <c r="H280" s="1"/>
      <c r="I280" s="1"/>
      <c r="J280" s="1"/>
      <c r="K280" s="1"/>
      <c r="L280" s="1"/>
    </row>
    <row r="281">
      <c r="B281" s="1"/>
      <c r="C281" s="1"/>
      <c r="D281" s="1"/>
      <c r="E281" s="1"/>
      <c r="F281" s="1"/>
      <c r="G281" s="1"/>
      <c r="H281" s="1"/>
      <c r="I281" s="1"/>
      <c r="J281" s="1"/>
      <c r="K281" s="1"/>
      <c r="L281" s="1"/>
    </row>
    <row r="282">
      <c r="B282" s="1"/>
      <c r="C282" s="1"/>
      <c r="D282" s="1"/>
      <c r="E282" s="1"/>
      <c r="F282" s="1"/>
      <c r="G282" s="1"/>
      <c r="H282" s="1"/>
      <c r="I282" s="1"/>
      <c r="J282" s="1"/>
      <c r="K282" s="1"/>
      <c r="L282" s="1"/>
    </row>
    <row r="283">
      <c r="B283" s="1"/>
      <c r="C283" s="1"/>
      <c r="D283" s="1"/>
      <c r="E283" s="1"/>
      <c r="F283" s="1"/>
      <c r="G283" s="1"/>
      <c r="H283" s="1"/>
      <c r="I283" s="1"/>
      <c r="J283" s="1"/>
      <c r="K283" s="1"/>
      <c r="L283" s="1"/>
    </row>
    <row r="284">
      <c r="B284" s="1"/>
      <c r="C284" s="1"/>
      <c r="D284" s="1"/>
      <c r="E284" s="1"/>
      <c r="F284" s="1"/>
      <c r="G284" s="1"/>
      <c r="H284" s="1"/>
      <c r="I284" s="1"/>
      <c r="J284" s="1"/>
      <c r="K284" s="1"/>
      <c r="L284" s="1"/>
    </row>
    <row r="285">
      <c r="B285" s="1"/>
      <c r="C285" s="1"/>
      <c r="D285" s="1"/>
      <c r="E285" s="1"/>
      <c r="F285" s="1"/>
      <c r="G285" s="1"/>
      <c r="H285" s="1"/>
      <c r="I285" s="1"/>
      <c r="J285" s="1"/>
      <c r="K285" s="1"/>
      <c r="L285" s="1"/>
    </row>
    <row r="286">
      <c r="B286" s="1"/>
      <c r="C286" s="1"/>
      <c r="D286" s="1"/>
      <c r="E286" s="1"/>
      <c r="F286" s="1"/>
      <c r="G286" s="1"/>
      <c r="H286" s="1"/>
      <c r="I286" s="1"/>
      <c r="J286" s="1"/>
      <c r="K286" s="1"/>
      <c r="L286" s="1"/>
    </row>
    <row r="287">
      <c r="B287" s="1"/>
      <c r="C287" s="1"/>
      <c r="D287" s="1"/>
      <c r="E287" s="1"/>
      <c r="F287" s="1"/>
      <c r="G287" s="1"/>
      <c r="H287" s="1"/>
      <c r="I287" s="1"/>
      <c r="J287" s="1"/>
      <c r="K287" s="1"/>
      <c r="L287" s="1"/>
    </row>
    <row r="288">
      <c r="B288" s="1"/>
      <c r="C288" s="1"/>
      <c r="D288" s="1"/>
      <c r="E288" s="1"/>
      <c r="F288" s="1"/>
      <c r="G288" s="1"/>
      <c r="H288" s="1"/>
      <c r="I288" s="1"/>
      <c r="J288" s="1"/>
      <c r="K288" s="1"/>
      <c r="L288" s="1"/>
    </row>
    <row r="289">
      <c r="B289" s="1"/>
      <c r="C289" s="1"/>
      <c r="D289" s="1"/>
      <c r="E289" s="1"/>
      <c r="F289" s="1"/>
      <c r="G289" s="1"/>
      <c r="H289" s="1"/>
      <c r="I289" s="1"/>
      <c r="J289" s="1"/>
      <c r="K289" s="1"/>
      <c r="L289" s="1"/>
    </row>
    <row r="290">
      <c r="B290" s="1"/>
      <c r="C290" s="1"/>
      <c r="D290" s="1"/>
      <c r="E290" s="1"/>
      <c r="F290" s="1"/>
      <c r="G290" s="1"/>
      <c r="H290" s="1"/>
      <c r="I290" s="1"/>
      <c r="J290" s="1"/>
      <c r="K290" s="1"/>
      <c r="L290" s="1"/>
    </row>
    <row r="291">
      <c r="B291" s="1"/>
      <c r="C291" s="1"/>
      <c r="D291" s="1"/>
      <c r="E291" s="1"/>
      <c r="F291" s="1"/>
      <c r="G291" s="1"/>
      <c r="H291" s="1"/>
      <c r="I291" s="1"/>
      <c r="J291" s="1"/>
      <c r="K291" s="1"/>
      <c r="L291" s="1"/>
    </row>
    <row r="292">
      <c r="B292" s="1"/>
      <c r="C292" s="1"/>
      <c r="D292" s="1"/>
      <c r="E292" s="1"/>
      <c r="F292" s="1"/>
      <c r="G292" s="1"/>
      <c r="H292" s="1"/>
      <c r="I292" s="1"/>
      <c r="J292" s="1"/>
      <c r="K292" s="1"/>
      <c r="L292" s="1"/>
    </row>
    <row r="293">
      <c r="B293" s="1"/>
      <c r="C293" s="1"/>
      <c r="D293" s="1"/>
      <c r="E293" s="1"/>
      <c r="F293" s="1"/>
      <c r="G293" s="1"/>
      <c r="H293" s="1"/>
      <c r="I293" s="1"/>
      <c r="J293" s="1"/>
      <c r="K293" s="1"/>
      <c r="L293" s="1"/>
    </row>
    <row r="294">
      <c r="B294" s="1"/>
      <c r="C294" s="1"/>
      <c r="D294" s="1"/>
      <c r="E294" s="1"/>
      <c r="F294" s="1"/>
      <c r="G294" s="1"/>
      <c r="H294" s="1"/>
      <c r="I294" s="1"/>
      <c r="J294" s="1"/>
      <c r="K294" s="1"/>
      <c r="L294" s="1"/>
    </row>
    <row r="295">
      <c r="B295" s="1"/>
      <c r="C295" s="1"/>
      <c r="D295" s="1"/>
      <c r="E295" s="1"/>
      <c r="F295" s="1"/>
      <c r="G295" s="1"/>
      <c r="H295" s="1"/>
      <c r="I295" s="1"/>
      <c r="J295" s="1"/>
      <c r="K295" s="1"/>
      <c r="L295" s="1"/>
    </row>
    <row r="296">
      <c r="B296" s="1"/>
      <c r="C296" s="1"/>
      <c r="D296" s="1"/>
      <c r="E296" s="1"/>
      <c r="F296" s="1"/>
      <c r="G296" s="1"/>
      <c r="H296" s="1"/>
      <c r="I296" s="1"/>
      <c r="J296" s="1"/>
      <c r="K296" s="1"/>
      <c r="L296" s="1"/>
    </row>
    <row r="297">
      <c r="B297" s="1"/>
      <c r="C297" s="1"/>
      <c r="D297" s="1"/>
      <c r="E297" s="1"/>
      <c r="F297" s="1"/>
      <c r="G297" s="1"/>
      <c r="H297" s="1"/>
      <c r="I297" s="1"/>
      <c r="J297" s="1"/>
      <c r="K297" s="1"/>
      <c r="L297" s="1"/>
    </row>
    <row r="298">
      <c r="B298" s="1"/>
      <c r="C298" s="1"/>
      <c r="D298" s="1"/>
      <c r="E298" s="1"/>
      <c r="F298" s="1"/>
      <c r="G298" s="1"/>
      <c r="H298" s="1"/>
      <c r="I298" s="1"/>
      <c r="J298" s="1"/>
      <c r="K298" s="1"/>
      <c r="L298" s="1"/>
    </row>
    <row r="299">
      <c r="B299" s="1"/>
      <c r="C299" s="1"/>
      <c r="D299" s="1"/>
      <c r="E299" s="1"/>
      <c r="F299" s="1"/>
      <c r="G299" s="1"/>
      <c r="H299" s="1"/>
      <c r="I299" s="1"/>
      <c r="J299" s="1"/>
      <c r="K299" s="1"/>
      <c r="L299" s="1"/>
    </row>
    <row r="300">
      <c r="B300" s="1"/>
      <c r="C300" s="1"/>
      <c r="D300" s="1"/>
      <c r="E300" s="1"/>
      <c r="F300" s="1"/>
      <c r="G300" s="1"/>
      <c r="H300" s="1"/>
      <c r="I300" s="1"/>
      <c r="J300" s="1"/>
      <c r="K300" s="1"/>
      <c r="L300" s="1"/>
    </row>
    <row r="301">
      <c r="B301" s="1"/>
      <c r="C301" s="1"/>
      <c r="D301" s="1"/>
      <c r="E301" s="1"/>
      <c r="F301" s="1"/>
      <c r="G301" s="1"/>
      <c r="H301" s="1"/>
      <c r="I301" s="1"/>
      <c r="J301" s="1"/>
      <c r="K301" s="1"/>
      <c r="L301" s="1"/>
    </row>
    <row r="302">
      <c r="B302" s="1"/>
      <c r="C302" s="1"/>
      <c r="D302" s="1"/>
      <c r="E302" s="1"/>
      <c r="F302" s="1"/>
      <c r="G302" s="1"/>
      <c r="H302" s="1"/>
      <c r="I302" s="1"/>
      <c r="J302" s="1"/>
      <c r="K302" s="1"/>
      <c r="L302" s="1"/>
    </row>
    <row r="303">
      <c r="B303" s="1"/>
      <c r="C303" s="1"/>
      <c r="D303" s="1"/>
      <c r="E303" s="1"/>
      <c r="F303" s="1"/>
      <c r="G303" s="1"/>
      <c r="H303" s="1"/>
      <c r="I303" s="1"/>
      <c r="J303" s="1"/>
      <c r="K303" s="1"/>
      <c r="L303" s="1"/>
    </row>
    <row r="304">
      <c r="B304" s="1"/>
      <c r="C304" s="1"/>
      <c r="D304" s="1"/>
      <c r="E304" s="1"/>
      <c r="F304" s="1"/>
      <c r="G304" s="1"/>
      <c r="H304" s="1"/>
      <c r="I304" s="1"/>
      <c r="J304" s="1"/>
      <c r="K304" s="1"/>
      <c r="L304" s="1"/>
    </row>
    <row r="305">
      <c r="B305" s="1"/>
      <c r="C305" s="1"/>
      <c r="D305" s="1"/>
      <c r="E305" s="1"/>
      <c r="F305" s="1"/>
      <c r="G305" s="1"/>
      <c r="H305" s="1"/>
      <c r="I305" s="1"/>
      <c r="J305" s="1"/>
      <c r="K305" s="1"/>
      <c r="L305" s="1"/>
    </row>
    <row r="306">
      <c r="B306" s="1"/>
      <c r="C306" s="1"/>
      <c r="D306" s="1"/>
      <c r="E306" s="1"/>
      <c r="F306" s="1"/>
      <c r="G306" s="1"/>
      <c r="H306" s="1"/>
      <c r="I306" s="1"/>
      <c r="J306" s="1"/>
      <c r="K306" s="1"/>
      <c r="L306" s="1"/>
    </row>
    <row r="307">
      <c r="B307" s="1"/>
      <c r="C307" s="1"/>
      <c r="D307" s="1"/>
      <c r="E307" s="1"/>
      <c r="F307" s="1"/>
      <c r="G307" s="1"/>
      <c r="H307" s="1"/>
      <c r="I307" s="1"/>
      <c r="J307" s="1"/>
      <c r="K307" s="1"/>
      <c r="L307" s="1"/>
    </row>
    <row r="308">
      <c r="B308" s="1"/>
      <c r="C308" s="1"/>
      <c r="D308" s="1"/>
      <c r="E308" s="1"/>
      <c r="F308" s="1"/>
      <c r="G308" s="1"/>
      <c r="H308" s="1"/>
      <c r="I308" s="1"/>
      <c r="J308" s="1"/>
      <c r="K308" s="1"/>
      <c r="L308" s="1"/>
    </row>
    <row r="309">
      <c r="B309" s="1"/>
      <c r="C309" s="1"/>
      <c r="D309" s="1"/>
      <c r="E309" s="1"/>
      <c r="F309" s="1"/>
      <c r="G309" s="1"/>
      <c r="H309" s="1"/>
      <c r="I309" s="1"/>
      <c r="J309" s="1"/>
      <c r="K309" s="1"/>
      <c r="L309" s="1"/>
    </row>
    <row r="310">
      <c r="B310" s="1"/>
      <c r="C310" s="1"/>
      <c r="D310" s="1"/>
      <c r="E310" s="1"/>
      <c r="F310" s="1"/>
      <c r="G310" s="1"/>
      <c r="H310" s="1"/>
      <c r="I310" s="1"/>
      <c r="J310" s="1"/>
      <c r="K310" s="1"/>
      <c r="L310" s="1"/>
    </row>
    <row r="311">
      <c r="B311" s="1"/>
      <c r="C311" s="1"/>
      <c r="D311" s="1"/>
      <c r="E311" s="1"/>
      <c r="F311" s="1"/>
      <c r="G311" s="1"/>
      <c r="H311" s="1"/>
      <c r="I311" s="1"/>
      <c r="J311" s="1"/>
      <c r="K311" s="1"/>
      <c r="L311" s="1"/>
    </row>
    <row r="312">
      <c r="B312" s="1"/>
      <c r="C312" s="1"/>
      <c r="D312" s="1"/>
      <c r="E312" s="1"/>
      <c r="F312" s="1"/>
      <c r="G312" s="1"/>
      <c r="H312" s="1"/>
      <c r="I312" s="1"/>
      <c r="J312" s="1"/>
      <c r="K312" s="1"/>
      <c r="L312" s="1"/>
    </row>
    <row r="313">
      <c r="B313" s="1"/>
      <c r="C313" s="1"/>
      <c r="D313" s="1"/>
      <c r="E313" s="1"/>
      <c r="F313" s="1"/>
      <c r="G313" s="1"/>
      <c r="H313" s="1"/>
      <c r="I313" s="1"/>
      <c r="J313" s="1"/>
      <c r="K313" s="1"/>
      <c r="L313" s="1"/>
    </row>
    <row r="314">
      <c r="B314" s="1"/>
      <c r="C314" s="1"/>
      <c r="D314" s="1"/>
      <c r="E314" s="1"/>
      <c r="F314" s="1"/>
      <c r="G314" s="1"/>
      <c r="H314" s="1"/>
      <c r="I314" s="1"/>
      <c r="J314" s="1"/>
      <c r="K314" s="1"/>
      <c r="L314" s="1"/>
    </row>
    <row r="315">
      <c r="B315" s="1"/>
      <c r="C315" s="1"/>
      <c r="D315" s="1"/>
      <c r="E315" s="1"/>
      <c r="F315" s="1"/>
      <c r="G315" s="1"/>
      <c r="H315" s="1"/>
      <c r="I315" s="1"/>
      <c r="J315" s="1"/>
      <c r="K315" s="1"/>
      <c r="L315" s="1"/>
    </row>
    <row r="316">
      <c r="B316" s="1"/>
      <c r="C316" s="1"/>
      <c r="D316" s="1"/>
      <c r="E316" s="1"/>
      <c r="F316" s="1"/>
      <c r="G316" s="1"/>
      <c r="H316" s="1"/>
      <c r="I316" s="1"/>
      <c r="J316" s="1"/>
      <c r="K316" s="1"/>
      <c r="L316" s="1"/>
    </row>
    <row r="317">
      <c r="B317" s="1"/>
      <c r="C317" s="1"/>
      <c r="D317" s="1"/>
      <c r="E317" s="1"/>
      <c r="F317" s="1"/>
      <c r="G317" s="1"/>
      <c r="H317" s="1"/>
      <c r="I317" s="1"/>
      <c r="J317" s="1"/>
      <c r="K317" s="1"/>
      <c r="L317" s="1"/>
    </row>
    <row r="318">
      <c r="B318" s="1"/>
      <c r="C318" s="1"/>
      <c r="D318" s="1"/>
      <c r="E318" s="1"/>
      <c r="F318" s="1"/>
      <c r="G318" s="1"/>
      <c r="H318" s="1"/>
      <c r="I318" s="1"/>
      <c r="J318" s="1"/>
      <c r="K318" s="1"/>
      <c r="L318" s="1"/>
    </row>
    <row r="319">
      <c r="B319" s="1"/>
      <c r="C319" s="1"/>
      <c r="D319" s="1"/>
      <c r="E319" s="1"/>
      <c r="F319" s="1"/>
      <c r="G319" s="1"/>
      <c r="H319" s="1"/>
      <c r="I319" s="1"/>
      <c r="J319" s="1"/>
      <c r="K319" s="1"/>
      <c r="L319" s="1"/>
    </row>
    <row r="320">
      <c r="B320" s="1"/>
      <c r="C320" s="1"/>
      <c r="D320" s="1"/>
      <c r="E320" s="1"/>
      <c r="F320" s="1"/>
      <c r="G320" s="1"/>
      <c r="H320" s="1"/>
      <c r="I320" s="1"/>
      <c r="J320" s="1"/>
      <c r="K320" s="1"/>
      <c r="L320" s="1"/>
    </row>
    <row r="321">
      <c r="B321" s="1"/>
      <c r="C321" s="1"/>
      <c r="D321" s="1"/>
      <c r="E321" s="1"/>
      <c r="F321" s="1"/>
      <c r="G321" s="1"/>
      <c r="H321" s="1"/>
      <c r="I321" s="1"/>
      <c r="J321" s="1"/>
      <c r="K321" s="1"/>
      <c r="L321" s="1"/>
    </row>
    <row r="322">
      <c r="B322" s="1"/>
      <c r="C322" s="1"/>
      <c r="D322" s="1"/>
      <c r="E322" s="1"/>
      <c r="F322" s="1"/>
      <c r="G322" s="1"/>
      <c r="H322" s="1"/>
      <c r="I322" s="1"/>
      <c r="J322" s="1"/>
      <c r="K322" s="1"/>
      <c r="L322" s="1"/>
    </row>
    <row r="323">
      <c r="B323" s="1"/>
      <c r="C323" s="1"/>
      <c r="D323" s="1"/>
      <c r="E323" s="1"/>
      <c r="F323" s="1"/>
      <c r="G323" s="1"/>
      <c r="H323" s="1"/>
      <c r="I323" s="1"/>
      <c r="J323" s="1"/>
      <c r="K323" s="1"/>
      <c r="L323" s="1"/>
    </row>
    <row r="324">
      <c r="B324" s="1"/>
      <c r="C324" s="1"/>
      <c r="D324" s="1"/>
      <c r="E324" s="1"/>
      <c r="F324" s="1"/>
      <c r="G324" s="1"/>
      <c r="H324" s="1"/>
      <c r="I324" s="1"/>
      <c r="J324" s="1"/>
      <c r="K324" s="1"/>
      <c r="L324" s="1"/>
    </row>
    <row r="325">
      <c r="B325" s="1"/>
      <c r="C325" s="1"/>
      <c r="D325" s="1"/>
      <c r="E325" s="1"/>
      <c r="F325" s="1"/>
      <c r="G325" s="1"/>
      <c r="H325" s="1"/>
      <c r="I325" s="1"/>
      <c r="J325" s="1"/>
      <c r="K325" s="1"/>
      <c r="L325" s="1"/>
    </row>
    <row r="326">
      <c r="B326" s="1"/>
      <c r="C326" s="1"/>
      <c r="D326" s="1"/>
      <c r="E326" s="1"/>
      <c r="F326" s="1"/>
      <c r="G326" s="1"/>
      <c r="H326" s="1"/>
      <c r="I326" s="1"/>
      <c r="J326" s="1"/>
      <c r="K326" s="1"/>
      <c r="L326" s="1"/>
    </row>
    <row r="327">
      <c r="B327" s="1"/>
      <c r="C327" s="1"/>
      <c r="D327" s="1"/>
      <c r="E327" s="1"/>
      <c r="F327" s="1"/>
      <c r="G327" s="1"/>
      <c r="H327" s="1"/>
      <c r="I327" s="1"/>
      <c r="J327" s="1"/>
      <c r="K327" s="1"/>
      <c r="L327" s="1"/>
    </row>
    <row r="328">
      <c r="B328" s="1"/>
      <c r="C328" s="1"/>
      <c r="D328" s="1"/>
      <c r="E328" s="1"/>
      <c r="F328" s="1"/>
      <c r="G328" s="1"/>
      <c r="H328" s="1"/>
      <c r="I328" s="1"/>
      <c r="J328" s="1"/>
      <c r="K328" s="1"/>
      <c r="L328" s="1"/>
    </row>
    <row r="329">
      <c r="B329" s="1"/>
      <c r="C329" s="1"/>
      <c r="D329" s="1"/>
      <c r="E329" s="1"/>
      <c r="F329" s="1"/>
      <c r="G329" s="1"/>
      <c r="H329" s="1"/>
      <c r="I329" s="1"/>
      <c r="J329" s="1"/>
      <c r="K329" s="1"/>
      <c r="L329" s="1"/>
    </row>
    <row r="330">
      <c r="B330" s="1"/>
      <c r="C330" s="1"/>
      <c r="D330" s="1"/>
      <c r="E330" s="1"/>
      <c r="F330" s="1"/>
      <c r="G330" s="1"/>
      <c r="H330" s="1"/>
      <c r="I330" s="1"/>
      <c r="J330" s="1"/>
      <c r="K330" s="1"/>
      <c r="L330" s="1"/>
    </row>
    <row r="331">
      <c r="B331" s="1"/>
      <c r="C331" s="1"/>
      <c r="D331" s="1"/>
      <c r="E331" s="1"/>
      <c r="F331" s="1"/>
      <c r="G331" s="1"/>
      <c r="H331" s="1"/>
      <c r="I331" s="1"/>
      <c r="J331" s="1"/>
      <c r="K331" s="1"/>
      <c r="L331" s="1"/>
    </row>
    <row r="332">
      <c r="B332" s="1"/>
      <c r="C332" s="1"/>
      <c r="D332" s="1"/>
      <c r="E332" s="1"/>
      <c r="F332" s="1"/>
      <c r="G332" s="1"/>
      <c r="H332" s="1"/>
      <c r="I332" s="1"/>
      <c r="J332" s="1"/>
      <c r="K332" s="1"/>
      <c r="L332" s="1"/>
    </row>
    <row r="333">
      <c r="B333" s="1"/>
      <c r="C333" s="1"/>
      <c r="D333" s="1"/>
      <c r="E333" s="1"/>
      <c r="F333" s="1"/>
      <c r="G333" s="1"/>
      <c r="H333" s="1"/>
      <c r="I333" s="1"/>
      <c r="J333" s="1"/>
      <c r="K333" s="1"/>
      <c r="L333" s="1"/>
    </row>
    <row r="334">
      <c r="B334" s="1"/>
      <c r="C334" s="1"/>
      <c r="D334" s="1"/>
      <c r="E334" s="1"/>
      <c r="F334" s="1"/>
      <c r="G334" s="1"/>
      <c r="H334" s="1"/>
      <c r="I334" s="1"/>
      <c r="J334" s="1"/>
      <c r="K334" s="1"/>
      <c r="L334" s="1"/>
    </row>
    <row r="335">
      <c r="B335" s="1"/>
      <c r="C335" s="1"/>
      <c r="D335" s="1"/>
      <c r="E335" s="1"/>
      <c r="F335" s="1"/>
      <c r="G335" s="1"/>
      <c r="H335" s="1"/>
      <c r="I335" s="1"/>
      <c r="J335" s="1"/>
      <c r="K335" s="1"/>
      <c r="L335" s="1"/>
    </row>
    <row r="336">
      <c r="B336" s="1"/>
      <c r="C336" s="1"/>
      <c r="D336" s="1"/>
      <c r="E336" s="1"/>
      <c r="F336" s="1"/>
      <c r="G336" s="1"/>
      <c r="H336" s="1"/>
      <c r="I336" s="1"/>
      <c r="J336" s="1"/>
      <c r="K336" s="1"/>
      <c r="L336" s="1"/>
    </row>
    <row r="337">
      <c r="B337" s="1"/>
      <c r="C337" s="1"/>
      <c r="D337" s="1"/>
      <c r="E337" s="1"/>
      <c r="F337" s="1"/>
      <c r="G337" s="1"/>
      <c r="H337" s="1"/>
      <c r="I337" s="1"/>
      <c r="J337" s="1"/>
      <c r="K337" s="1"/>
      <c r="L337" s="1"/>
    </row>
    <row r="338">
      <c r="B338" s="1"/>
      <c r="C338" s="1"/>
      <c r="D338" s="1"/>
      <c r="E338" s="1"/>
      <c r="F338" s="1"/>
      <c r="G338" s="1"/>
      <c r="H338" s="1"/>
      <c r="I338" s="1"/>
      <c r="J338" s="1"/>
      <c r="K338" s="1"/>
      <c r="L338" s="1"/>
    </row>
    <row r="339">
      <c r="B339" s="1"/>
      <c r="C339" s="1"/>
      <c r="D339" s="1"/>
      <c r="E339" s="1"/>
      <c r="F339" s="1"/>
      <c r="G339" s="1"/>
      <c r="H339" s="1"/>
      <c r="I339" s="1"/>
      <c r="J339" s="1"/>
      <c r="K339" s="1"/>
      <c r="L339" s="1"/>
    </row>
    <row r="340">
      <c r="B340" s="1"/>
      <c r="C340" s="1"/>
      <c r="D340" s="1"/>
      <c r="E340" s="1"/>
      <c r="F340" s="1"/>
      <c r="G340" s="1"/>
      <c r="H340" s="1"/>
      <c r="I340" s="1"/>
      <c r="J340" s="1"/>
      <c r="K340" s="1"/>
      <c r="L340" s="1"/>
    </row>
    <row r="341">
      <c r="B341" s="1"/>
      <c r="C341" s="1"/>
      <c r="D341" s="1"/>
      <c r="E341" s="1"/>
      <c r="F341" s="1"/>
      <c r="G341" s="1"/>
      <c r="H341" s="1"/>
      <c r="I341" s="1"/>
      <c r="J341" s="1"/>
      <c r="K341" s="1"/>
      <c r="L341" s="1"/>
    </row>
    <row r="342">
      <c r="B342" s="1"/>
      <c r="C342" s="1"/>
      <c r="D342" s="1"/>
      <c r="E342" s="1"/>
      <c r="F342" s="1"/>
      <c r="G342" s="1"/>
      <c r="H342" s="1"/>
      <c r="I342" s="1"/>
      <c r="J342" s="1"/>
      <c r="K342" s="1"/>
      <c r="L342" s="1"/>
    </row>
    <row r="343">
      <c r="B343" s="1"/>
      <c r="C343" s="1"/>
      <c r="D343" s="1"/>
      <c r="E343" s="1"/>
      <c r="F343" s="1"/>
      <c r="G343" s="1"/>
      <c r="H343" s="1"/>
      <c r="I343" s="1"/>
      <c r="J343" s="1"/>
      <c r="K343" s="1"/>
      <c r="L343" s="1"/>
    </row>
    <row r="344">
      <c r="B344" s="1"/>
      <c r="C344" s="1"/>
      <c r="D344" s="1"/>
      <c r="E344" s="1"/>
      <c r="F344" s="1"/>
      <c r="G344" s="1"/>
      <c r="H344" s="1"/>
      <c r="I344" s="1"/>
      <c r="J344" s="1"/>
      <c r="K344" s="1"/>
      <c r="L344" s="1"/>
    </row>
    <row r="345">
      <c r="B345" s="1"/>
      <c r="C345" s="1"/>
      <c r="D345" s="1"/>
      <c r="E345" s="1"/>
      <c r="F345" s="1"/>
      <c r="G345" s="1"/>
      <c r="H345" s="1"/>
      <c r="I345" s="1"/>
      <c r="J345" s="1"/>
      <c r="K345" s="1"/>
      <c r="L345" s="1"/>
    </row>
    <row r="346">
      <c r="B346" s="1"/>
      <c r="C346" s="1"/>
      <c r="D346" s="1"/>
      <c r="E346" s="1"/>
      <c r="F346" s="1"/>
      <c r="G346" s="1"/>
      <c r="H346" s="1"/>
      <c r="I346" s="1"/>
      <c r="J346" s="1"/>
      <c r="K346" s="1"/>
      <c r="L346" s="1"/>
    </row>
    <row r="347">
      <c r="B347" s="1"/>
      <c r="C347" s="1"/>
      <c r="D347" s="1"/>
      <c r="E347" s="1"/>
      <c r="F347" s="1"/>
      <c r="G347" s="1"/>
      <c r="H347" s="1"/>
      <c r="I347" s="1"/>
      <c r="J347" s="1"/>
      <c r="K347" s="1"/>
      <c r="L347" s="1"/>
    </row>
    <row r="348">
      <c r="B348" s="1"/>
      <c r="C348" s="1"/>
      <c r="D348" s="1"/>
      <c r="E348" s="1"/>
      <c r="F348" s="1"/>
      <c r="G348" s="1"/>
      <c r="H348" s="1"/>
      <c r="I348" s="1"/>
      <c r="J348" s="1"/>
      <c r="K348" s="1"/>
      <c r="L348" s="1"/>
    </row>
    <row r="349">
      <c r="B349" s="1"/>
      <c r="C349" s="1"/>
      <c r="D349" s="1"/>
      <c r="E349" s="1"/>
      <c r="F349" s="1"/>
      <c r="G349" s="1"/>
      <c r="H349" s="1"/>
      <c r="I349" s="1"/>
      <c r="J349" s="1"/>
      <c r="K349" s="1"/>
      <c r="L349" s="1"/>
    </row>
    <row r="350">
      <c r="B350" s="1"/>
      <c r="C350" s="1"/>
      <c r="D350" s="1"/>
      <c r="E350" s="1"/>
      <c r="F350" s="1"/>
      <c r="G350" s="1"/>
      <c r="H350" s="1"/>
      <c r="I350" s="1"/>
      <c r="J350" s="1"/>
      <c r="K350" s="1"/>
      <c r="L350" s="1"/>
    </row>
    <row r="351">
      <c r="B351" s="1"/>
      <c r="C351" s="1"/>
      <c r="D351" s="1"/>
      <c r="E351" s="1"/>
      <c r="F351" s="1"/>
      <c r="G351" s="1"/>
      <c r="H351" s="1"/>
      <c r="I351" s="1"/>
      <c r="J351" s="1"/>
      <c r="K351" s="1"/>
      <c r="L351" s="1"/>
    </row>
    <row r="352">
      <c r="B352" s="1"/>
      <c r="C352" s="1"/>
      <c r="D352" s="1"/>
      <c r="E352" s="1"/>
      <c r="F352" s="1"/>
      <c r="G352" s="1"/>
      <c r="H352" s="1"/>
      <c r="I352" s="1"/>
      <c r="J352" s="1"/>
      <c r="K352" s="1"/>
      <c r="L352" s="1"/>
    </row>
    <row r="353">
      <c r="B353" s="1"/>
      <c r="C353" s="1"/>
      <c r="D353" s="1"/>
      <c r="E353" s="1"/>
      <c r="F353" s="1"/>
      <c r="G353" s="1"/>
      <c r="H353" s="1"/>
      <c r="I353" s="1"/>
      <c r="J353" s="1"/>
      <c r="K353" s="1"/>
      <c r="L353" s="1"/>
    </row>
    <row r="354">
      <c r="B354" s="1"/>
      <c r="C354" s="1"/>
      <c r="D354" s="1"/>
      <c r="E354" s="1"/>
      <c r="F354" s="1"/>
      <c r="G354" s="1"/>
      <c r="H354" s="1"/>
      <c r="I354" s="1"/>
      <c r="J354" s="1"/>
      <c r="K354" s="1"/>
      <c r="L354" s="1"/>
    </row>
    <row r="355">
      <c r="B355" s="1"/>
      <c r="C355" s="1"/>
      <c r="D355" s="1"/>
      <c r="E355" s="1"/>
      <c r="F355" s="1"/>
      <c r="G355" s="1"/>
      <c r="H355" s="1"/>
      <c r="I355" s="1"/>
      <c r="J355" s="1"/>
      <c r="K355" s="1"/>
      <c r="L355" s="1"/>
    </row>
    <row r="356">
      <c r="B356" s="1"/>
      <c r="C356" s="1"/>
      <c r="D356" s="1"/>
      <c r="E356" s="1"/>
      <c r="F356" s="1"/>
      <c r="G356" s="1"/>
      <c r="H356" s="1"/>
      <c r="I356" s="1"/>
      <c r="J356" s="1"/>
      <c r="K356" s="1"/>
      <c r="L356" s="1"/>
    </row>
    <row r="357">
      <c r="B357" s="1"/>
      <c r="C357" s="1"/>
      <c r="D357" s="1"/>
      <c r="E357" s="1"/>
      <c r="F357" s="1"/>
      <c r="G357" s="1"/>
      <c r="H357" s="1"/>
      <c r="I357" s="1"/>
      <c r="J357" s="1"/>
      <c r="K357" s="1"/>
      <c r="L357" s="1"/>
    </row>
    <row r="358">
      <c r="B358" s="1"/>
      <c r="C358" s="1"/>
      <c r="D358" s="1"/>
      <c r="E358" s="1"/>
      <c r="F358" s="1"/>
      <c r="G358" s="1"/>
      <c r="H358" s="1"/>
      <c r="I358" s="1"/>
      <c r="J358" s="1"/>
      <c r="K358" s="1"/>
      <c r="L358" s="1"/>
    </row>
    <row r="359">
      <c r="B359" s="1"/>
      <c r="C359" s="1"/>
      <c r="D359" s="1"/>
      <c r="E359" s="1"/>
      <c r="F359" s="1"/>
      <c r="G359" s="1"/>
      <c r="H359" s="1"/>
      <c r="I359" s="1"/>
      <c r="J359" s="1"/>
      <c r="K359" s="1"/>
      <c r="L359" s="1"/>
    </row>
    <row r="360">
      <c r="B360" s="1"/>
      <c r="C360" s="1"/>
      <c r="D360" s="1"/>
      <c r="E360" s="1"/>
      <c r="F360" s="1"/>
      <c r="G360" s="1"/>
      <c r="H360" s="1"/>
      <c r="I360" s="1"/>
      <c r="J360" s="1"/>
      <c r="K360" s="1"/>
      <c r="L360" s="1"/>
    </row>
    <row r="361">
      <c r="B361" s="1"/>
      <c r="C361" s="1"/>
      <c r="D361" s="1"/>
      <c r="E361" s="1"/>
      <c r="F361" s="1"/>
      <c r="G361" s="1"/>
      <c r="H361" s="1"/>
      <c r="I361" s="1"/>
      <c r="J361" s="1"/>
      <c r="K361" s="1"/>
      <c r="L361" s="1"/>
    </row>
    <row r="362">
      <c r="B362" s="1"/>
      <c r="C362" s="1"/>
      <c r="D362" s="1"/>
      <c r="E362" s="1"/>
      <c r="F362" s="1"/>
      <c r="G362" s="1"/>
      <c r="H362" s="1"/>
      <c r="I362" s="1"/>
      <c r="J362" s="1"/>
      <c r="K362" s="1"/>
      <c r="L362" s="1"/>
    </row>
    <row r="363">
      <c r="B363" s="1"/>
      <c r="C363" s="1"/>
      <c r="D363" s="1"/>
      <c r="E363" s="1"/>
      <c r="F363" s="1"/>
      <c r="G363" s="1"/>
      <c r="H363" s="1"/>
      <c r="I363" s="1"/>
      <c r="J363" s="1"/>
      <c r="K363" s="1"/>
      <c r="L363" s="1"/>
    </row>
    <row r="364">
      <c r="B364" s="1"/>
      <c r="C364" s="1"/>
      <c r="D364" s="1"/>
      <c r="E364" s="1"/>
      <c r="F364" s="1"/>
      <c r="G364" s="1"/>
      <c r="H364" s="1"/>
      <c r="I364" s="1"/>
      <c r="J364" s="1"/>
      <c r="K364" s="1"/>
      <c r="L364" s="1"/>
    </row>
    <row r="365">
      <c r="B365" s="1"/>
      <c r="C365" s="1"/>
      <c r="D365" s="1"/>
      <c r="E365" s="1"/>
      <c r="F365" s="1"/>
      <c r="G365" s="1"/>
      <c r="H365" s="1"/>
      <c r="I365" s="1"/>
      <c r="J365" s="1"/>
      <c r="K365" s="1"/>
      <c r="L365" s="1"/>
    </row>
    <row r="366">
      <c r="B366" s="1"/>
      <c r="C366" s="1"/>
      <c r="D366" s="1"/>
      <c r="E366" s="1"/>
      <c r="F366" s="1"/>
      <c r="G366" s="1"/>
      <c r="H366" s="1"/>
      <c r="I366" s="1"/>
      <c r="J366" s="1"/>
      <c r="K366" s="1"/>
      <c r="L366" s="1"/>
    </row>
    <row r="367">
      <c r="B367" s="1"/>
      <c r="C367" s="1"/>
      <c r="D367" s="1"/>
      <c r="E367" s="1"/>
      <c r="F367" s="1"/>
      <c r="G367" s="1"/>
      <c r="H367" s="1"/>
      <c r="I367" s="1"/>
      <c r="J367" s="1"/>
      <c r="K367" s="1"/>
      <c r="L367" s="1"/>
    </row>
    <row r="368">
      <c r="B368" s="1"/>
      <c r="C368" s="1"/>
      <c r="D368" s="1"/>
      <c r="E368" s="1"/>
      <c r="F368" s="1"/>
      <c r="G368" s="1"/>
      <c r="H368" s="1"/>
      <c r="I368" s="1"/>
      <c r="J368" s="1"/>
      <c r="K368" s="1"/>
      <c r="L368" s="1"/>
    </row>
    <row r="369">
      <c r="B369" s="1"/>
      <c r="C369" s="1"/>
      <c r="D369" s="1"/>
      <c r="E369" s="1"/>
      <c r="F369" s="1"/>
      <c r="G369" s="1"/>
      <c r="H369" s="1"/>
      <c r="I369" s="1"/>
      <c r="J369" s="1"/>
      <c r="K369" s="1"/>
      <c r="L369" s="1"/>
    </row>
    <row r="370">
      <c r="B370" s="1"/>
      <c r="C370" s="1"/>
      <c r="D370" s="1"/>
      <c r="E370" s="1"/>
      <c r="F370" s="1"/>
      <c r="G370" s="1"/>
      <c r="H370" s="1"/>
      <c r="I370" s="1"/>
      <c r="J370" s="1"/>
      <c r="K370" s="1"/>
      <c r="L370" s="1"/>
    </row>
    <row r="371">
      <c r="B371" s="1"/>
      <c r="C371" s="1"/>
      <c r="D371" s="1"/>
      <c r="E371" s="1"/>
      <c r="F371" s="1"/>
      <c r="G371" s="1"/>
      <c r="H371" s="1"/>
      <c r="I371" s="1"/>
      <c r="J371" s="1"/>
      <c r="K371" s="1"/>
      <c r="L371" s="1"/>
    </row>
    <row r="372">
      <c r="B372" s="1"/>
      <c r="C372" s="1"/>
      <c r="D372" s="1"/>
      <c r="E372" s="1"/>
      <c r="F372" s="1"/>
      <c r="G372" s="1"/>
      <c r="H372" s="1"/>
      <c r="I372" s="1"/>
      <c r="J372" s="1"/>
      <c r="K372" s="1"/>
      <c r="L372" s="1"/>
    </row>
    <row r="373">
      <c r="B373" s="1"/>
      <c r="C373" s="1"/>
      <c r="D373" s="1"/>
      <c r="E373" s="1"/>
      <c r="F373" s="1"/>
      <c r="G373" s="1"/>
      <c r="H373" s="1"/>
      <c r="I373" s="1"/>
      <c r="J373" s="1"/>
      <c r="K373" s="1"/>
      <c r="L373" s="1"/>
    </row>
    <row r="374">
      <c r="B374" s="1"/>
      <c r="C374" s="1"/>
      <c r="D374" s="1"/>
      <c r="E374" s="1"/>
      <c r="F374" s="1"/>
      <c r="G374" s="1"/>
      <c r="H374" s="1"/>
      <c r="I374" s="1"/>
      <c r="J374" s="1"/>
      <c r="K374" s="1"/>
      <c r="L374" s="1"/>
    </row>
    <row r="375">
      <c r="B375" s="1"/>
      <c r="C375" s="1"/>
      <c r="D375" s="1"/>
      <c r="E375" s="1"/>
      <c r="F375" s="1"/>
      <c r="G375" s="1"/>
      <c r="H375" s="1"/>
      <c r="I375" s="1"/>
      <c r="J375" s="1"/>
      <c r="K375" s="1"/>
      <c r="L375" s="1"/>
    </row>
    <row r="376">
      <c r="B376" s="1"/>
      <c r="C376" s="1"/>
      <c r="D376" s="1"/>
      <c r="E376" s="1"/>
      <c r="F376" s="1"/>
      <c r="G376" s="1"/>
      <c r="H376" s="1"/>
      <c r="I376" s="1"/>
      <c r="J376" s="1"/>
      <c r="K376" s="1"/>
      <c r="L376" s="1"/>
    </row>
    <row r="377">
      <c r="B377" s="1"/>
      <c r="C377" s="1"/>
      <c r="D377" s="1"/>
      <c r="E377" s="1"/>
      <c r="F377" s="1"/>
      <c r="G377" s="1"/>
      <c r="H377" s="1"/>
      <c r="I377" s="1"/>
      <c r="J377" s="1"/>
      <c r="K377" s="1"/>
      <c r="L377" s="1"/>
    </row>
    <row r="378">
      <c r="B378" s="1"/>
      <c r="C378" s="1"/>
      <c r="D378" s="1"/>
      <c r="E378" s="1"/>
      <c r="F378" s="1"/>
      <c r="G378" s="1"/>
      <c r="H378" s="1"/>
      <c r="I378" s="1"/>
      <c r="J378" s="1"/>
      <c r="K378" s="1"/>
      <c r="L378" s="1"/>
    </row>
    <row r="379">
      <c r="B379" s="1"/>
      <c r="C379" s="1"/>
      <c r="D379" s="1"/>
      <c r="E379" s="1"/>
      <c r="F379" s="1"/>
      <c r="G379" s="1"/>
      <c r="H379" s="1"/>
      <c r="I379" s="1"/>
      <c r="J379" s="1"/>
      <c r="K379" s="1"/>
      <c r="L379" s="1"/>
    </row>
    <row r="380">
      <c r="B380" s="1"/>
      <c r="C380" s="1"/>
      <c r="D380" s="1"/>
      <c r="E380" s="1"/>
      <c r="F380" s="1"/>
      <c r="G380" s="1"/>
      <c r="H380" s="1"/>
      <c r="I380" s="1"/>
      <c r="J380" s="1"/>
      <c r="K380" s="1"/>
      <c r="L380" s="1"/>
    </row>
    <row r="381">
      <c r="B381" s="1"/>
      <c r="C381" s="1"/>
      <c r="D381" s="1"/>
      <c r="E381" s="1"/>
      <c r="F381" s="1"/>
      <c r="G381" s="1"/>
      <c r="H381" s="1"/>
      <c r="I381" s="1"/>
      <c r="J381" s="1"/>
      <c r="K381" s="1"/>
      <c r="L381" s="1"/>
    </row>
    <row r="382">
      <c r="B382" s="1"/>
      <c r="C382" s="1"/>
      <c r="D382" s="1"/>
      <c r="E382" s="1"/>
      <c r="F382" s="1"/>
      <c r="G382" s="1"/>
      <c r="H382" s="1"/>
      <c r="I382" s="1"/>
      <c r="J382" s="1"/>
      <c r="K382" s="1"/>
      <c r="L382" s="1"/>
    </row>
    <row r="383">
      <c r="B383" s="1"/>
      <c r="C383" s="1"/>
      <c r="D383" s="1"/>
      <c r="E383" s="1"/>
      <c r="F383" s="1"/>
      <c r="G383" s="1"/>
      <c r="H383" s="1"/>
      <c r="I383" s="1"/>
      <c r="J383" s="1"/>
      <c r="K383" s="1"/>
      <c r="L383" s="1"/>
    </row>
    <row r="384">
      <c r="B384" s="1"/>
      <c r="C384" s="1"/>
      <c r="D384" s="1"/>
      <c r="E384" s="1"/>
      <c r="F384" s="1"/>
      <c r="G384" s="1"/>
      <c r="H384" s="1"/>
      <c r="I384" s="1"/>
      <c r="J384" s="1"/>
      <c r="K384" s="1"/>
      <c r="L384" s="1"/>
    </row>
    <row r="385">
      <c r="B385" s="1"/>
      <c r="C385" s="1"/>
      <c r="D385" s="1"/>
      <c r="E385" s="1"/>
      <c r="F385" s="1"/>
      <c r="G385" s="1"/>
      <c r="H385" s="1"/>
      <c r="I385" s="1"/>
      <c r="J385" s="1"/>
      <c r="K385" s="1"/>
      <c r="L385" s="1"/>
    </row>
    <row r="386">
      <c r="B386" s="1"/>
      <c r="C386" s="1"/>
      <c r="D386" s="1"/>
      <c r="E386" s="1"/>
      <c r="F386" s="1"/>
      <c r="G386" s="1"/>
      <c r="H386" s="1"/>
      <c r="I386" s="1"/>
      <c r="J386" s="1"/>
      <c r="K386" s="1"/>
      <c r="L386" s="1"/>
    </row>
    <row r="387">
      <c r="B387" s="1"/>
      <c r="C387" s="1"/>
      <c r="D387" s="1"/>
      <c r="E387" s="1"/>
      <c r="F387" s="1"/>
      <c r="G387" s="1"/>
      <c r="H387" s="1"/>
      <c r="I387" s="1"/>
      <c r="J387" s="1"/>
      <c r="K387" s="1"/>
      <c r="L387" s="1"/>
    </row>
    <row r="388">
      <c r="B388" s="1"/>
      <c r="C388" s="1"/>
      <c r="D388" s="1"/>
      <c r="E388" s="1"/>
      <c r="F388" s="1"/>
      <c r="G388" s="1"/>
      <c r="H388" s="1"/>
      <c r="I388" s="1"/>
      <c r="J388" s="1"/>
      <c r="K388" s="1"/>
      <c r="L388" s="1"/>
    </row>
    <row r="389">
      <c r="B389" s="1"/>
      <c r="C389" s="1"/>
      <c r="D389" s="1"/>
      <c r="E389" s="1"/>
      <c r="F389" s="1"/>
      <c r="G389" s="1"/>
      <c r="H389" s="1"/>
      <c r="I389" s="1"/>
      <c r="J389" s="1"/>
      <c r="K389" s="1"/>
      <c r="L389" s="1"/>
    </row>
    <row r="390">
      <c r="B390" s="1"/>
      <c r="C390" s="1"/>
      <c r="D390" s="1"/>
      <c r="E390" s="1"/>
      <c r="F390" s="1"/>
      <c r="G390" s="1"/>
      <c r="H390" s="1"/>
      <c r="I390" s="1"/>
      <c r="J390" s="1"/>
      <c r="K390" s="1"/>
      <c r="L390" s="1"/>
    </row>
    <row r="391">
      <c r="B391" s="1"/>
      <c r="C391" s="1"/>
      <c r="D391" s="1"/>
      <c r="E391" s="1"/>
      <c r="F391" s="1"/>
      <c r="G391" s="1"/>
      <c r="H391" s="1"/>
      <c r="I391" s="1"/>
      <c r="J391" s="1"/>
      <c r="K391" s="1"/>
      <c r="L391" s="1"/>
    </row>
    <row r="392">
      <c r="B392" s="1"/>
      <c r="C392" s="1"/>
      <c r="D392" s="1"/>
      <c r="E392" s="1"/>
      <c r="F392" s="1"/>
      <c r="G392" s="1"/>
      <c r="H392" s="1"/>
      <c r="I392" s="1"/>
      <c r="J392" s="1"/>
      <c r="K392" s="1"/>
      <c r="L392" s="1"/>
    </row>
    <row r="393">
      <c r="B393" s="1"/>
      <c r="C393" s="1"/>
      <c r="D393" s="1"/>
      <c r="E393" s="1"/>
      <c r="F393" s="1"/>
      <c r="G393" s="1"/>
      <c r="H393" s="1"/>
      <c r="I393" s="1"/>
      <c r="J393" s="1"/>
      <c r="K393" s="1"/>
      <c r="L393" s="1"/>
    </row>
    <row r="394">
      <c r="B394" s="1"/>
      <c r="C394" s="1"/>
      <c r="D394" s="1"/>
      <c r="E394" s="1"/>
      <c r="F394" s="1"/>
      <c r="G394" s="1"/>
      <c r="H394" s="1"/>
      <c r="I394" s="1"/>
      <c r="J394" s="1"/>
      <c r="K394" s="1"/>
      <c r="L394" s="1"/>
    </row>
    <row r="395">
      <c r="B395" s="1"/>
      <c r="C395" s="1"/>
      <c r="D395" s="1"/>
      <c r="E395" s="1"/>
      <c r="F395" s="1"/>
      <c r="G395" s="1"/>
      <c r="H395" s="1"/>
      <c r="I395" s="1"/>
      <c r="J395" s="1"/>
      <c r="K395" s="1"/>
      <c r="L395" s="1"/>
    </row>
    <row r="396">
      <c r="B396" s="1"/>
      <c r="C396" s="1"/>
      <c r="D396" s="1"/>
      <c r="E396" s="1"/>
      <c r="F396" s="1"/>
      <c r="G396" s="1"/>
      <c r="H396" s="1"/>
      <c r="I396" s="1"/>
      <c r="J396" s="1"/>
      <c r="K396" s="1"/>
      <c r="L396" s="1"/>
    </row>
    <row r="397">
      <c r="B397" s="1"/>
      <c r="C397" s="1"/>
      <c r="D397" s="1"/>
      <c r="E397" s="1"/>
      <c r="F397" s="1"/>
      <c r="G397" s="1"/>
      <c r="H397" s="1"/>
      <c r="I397" s="1"/>
      <c r="J397" s="1"/>
      <c r="K397" s="1"/>
      <c r="L397" s="1"/>
    </row>
    <row r="398">
      <c r="B398" s="1"/>
      <c r="C398" s="1"/>
      <c r="D398" s="1"/>
      <c r="E398" s="1"/>
      <c r="F398" s="1"/>
      <c r="G398" s="1"/>
      <c r="H398" s="1"/>
      <c r="I398" s="1"/>
      <c r="J398" s="1"/>
      <c r="K398" s="1"/>
      <c r="L398" s="1"/>
    </row>
    <row r="399">
      <c r="B399" s="1"/>
      <c r="C399" s="1"/>
      <c r="D399" s="1"/>
      <c r="E399" s="1"/>
      <c r="F399" s="1"/>
      <c r="G399" s="1"/>
      <c r="H399" s="1"/>
      <c r="I399" s="1"/>
      <c r="J399" s="1"/>
      <c r="K399" s="1"/>
      <c r="L399" s="1"/>
    </row>
    <row r="400">
      <c r="B400" s="1"/>
      <c r="C400" s="1"/>
      <c r="D400" s="1"/>
      <c r="E400" s="1"/>
      <c r="F400" s="1"/>
      <c r="G400" s="1"/>
      <c r="H400" s="1"/>
      <c r="I400" s="1"/>
      <c r="J400" s="1"/>
      <c r="K400" s="1"/>
      <c r="L400" s="1"/>
    </row>
    <row r="401">
      <c r="B401" s="1"/>
      <c r="C401" s="1"/>
      <c r="D401" s="1"/>
      <c r="E401" s="1"/>
      <c r="F401" s="1"/>
      <c r="G401" s="1"/>
      <c r="H401" s="1"/>
      <c r="I401" s="1"/>
      <c r="J401" s="1"/>
      <c r="K401" s="1"/>
      <c r="L401" s="1"/>
    </row>
    <row r="402">
      <c r="B402" s="1"/>
      <c r="C402" s="1"/>
      <c r="D402" s="1"/>
      <c r="E402" s="1"/>
      <c r="F402" s="1"/>
      <c r="G402" s="1"/>
      <c r="H402" s="1"/>
      <c r="I402" s="1"/>
      <c r="J402" s="1"/>
      <c r="K402" s="1"/>
      <c r="L402" s="1"/>
    </row>
    <row r="403">
      <c r="B403" s="1"/>
      <c r="C403" s="1"/>
      <c r="D403" s="1"/>
      <c r="E403" s="1"/>
      <c r="F403" s="1"/>
      <c r="G403" s="1"/>
      <c r="H403" s="1"/>
      <c r="I403" s="1"/>
      <c r="J403" s="1"/>
      <c r="K403" s="1"/>
      <c r="L403" s="1"/>
    </row>
    <row r="404">
      <c r="B404" s="1"/>
      <c r="C404" s="1"/>
      <c r="D404" s="1"/>
      <c r="E404" s="1"/>
      <c r="F404" s="1"/>
      <c r="G404" s="1"/>
      <c r="H404" s="1"/>
      <c r="I404" s="1"/>
      <c r="J404" s="1"/>
      <c r="K404" s="1"/>
      <c r="L404" s="1"/>
    </row>
    <row r="405">
      <c r="B405" s="1"/>
      <c r="C405" s="1"/>
      <c r="D405" s="1"/>
      <c r="E405" s="1"/>
      <c r="F405" s="1"/>
      <c r="G405" s="1"/>
      <c r="H405" s="1"/>
      <c r="I405" s="1"/>
      <c r="J405" s="1"/>
      <c r="K405" s="1"/>
      <c r="L405" s="1"/>
    </row>
    <row r="406">
      <c r="B406" s="1"/>
      <c r="C406" s="1"/>
      <c r="D406" s="1"/>
      <c r="E406" s="1"/>
      <c r="F406" s="1"/>
      <c r="G406" s="1"/>
      <c r="H406" s="1"/>
      <c r="I406" s="1"/>
      <c r="J406" s="1"/>
      <c r="K406" s="1"/>
      <c r="L406" s="1"/>
    </row>
    <row r="407">
      <c r="B407" s="1"/>
      <c r="C407" s="1"/>
      <c r="D407" s="1"/>
      <c r="E407" s="1"/>
      <c r="F407" s="1"/>
      <c r="G407" s="1"/>
      <c r="H407" s="1"/>
      <c r="I407" s="1"/>
      <c r="J407" s="1"/>
      <c r="K407" s="1"/>
      <c r="L407" s="1"/>
    </row>
    <row r="408">
      <c r="B408" s="1"/>
      <c r="C408" s="1"/>
      <c r="D408" s="1"/>
      <c r="E408" s="1"/>
      <c r="F408" s="1"/>
      <c r="G408" s="1"/>
      <c r="H408" s="1"/>
      <c r="I408" s="1"/>
      <c r="J408" s="1"/>
      <c r="K408" s="1"/>
      <c r="L408" s="1"/>
    </row>
    <row r="409">
      <c r="B409" s="1"/>
      <c r="C409" s="1"/>
      <c r="D409" s="1"/>
      <c r="E409" s="1"/>
      <c r="F409" s="1"/>
      <c r="G409" s="1"/>
      <c r="H409" s="1"/>
      <c r="I409" s="1"/>
      <c r="J409" s="1"/>
      <c r="K409" s="1"/>
      <c r="L409" s="1"/>
    </row>
    <row r="410">
      <c r="B410" s="1"/>
      <c r="C410" s="1"/>
      <c r="D410" s="1"/>
      <c r="E410" s="1"/>
      <c r="F410" s="1"/>
      <c r="G410" s="1"/>
      <c r="H410" s="1"/>
      <c r="I410" s="1"/>
      <c r="J410" s="1"/>
      <c r="K410" s="1"/>
      <c r="L410" s="1"/>
    </row>
    <row r="411">
      <c r="B411" s="1"/>
      <c r="C411" s="1"/>
      <c r="D411" s="1"/>
      <c r="E411" s="1"/>
      <c r="F411" s="1"/>
      <c r="G411" s="1"/>
      <c r="H411" s="1"/>
      <c r="I411" s="1"/>
      <c r="J411" s="1"/>
      <c r="K411" s="1"/>
      <c r="L411" s="1"/>
    </row>
    <row r="412">
      <c r="B412" s="1"/>
      <c r="C412" s="1"/>
      <c r="D412" s="1"/>
      <c r="E412" s="1"/>
      <c r="F412" s="1"/>
      <c r="G412" s="1"/>
      <c r="H412" s="1"/>
      <c r="I412" s="1"/>
      <c r="J412" s="1"/>
      <c r="K412" s="1"/>
      <c r="L412" s="1"/>
    </row>
    <row r="413">
      <c r="B413" s="1"/>
      <c r="C413" s="1"/>
      <c r="D413" s="1"/>
      <c r="E413" s="1"/>
      <c r="F413" s="1"/>
      <c r="G413" s="1"/>
      <c r="H413" s="1"/>
      <c r="I413" s="1"/>
      <c r="J413" s="1"/>
      <c r="K413" s="1"/>
      <c r="L413" s="1"/>
    </row>
    <row r="414">
      <c r="B414" s="1"/>
      <c r="C414" s="1"/>
      <c r="D414" s="1"/>
      <c r="E414" s="1"/>
      <c r="F414" s="1"/>
      <c r="G414" s="1"/>
      <c r="H414" s="1"/>
      <c r="I414" s="1"/>
      <c r="J414" s="1"/>
      <c r="K414" s="1"/>
      <c r="L414" s="1"/>
    </row>
    <row r="415">
      <c r="B415" s="1"/>
      <c r="C415" s="1"/>
      <c r="D415" s="1"/>
      <c r="E415" s="1"/>
      <c r="F415" s="1"/>
      <c r="G415" s="1"/>
      <c r="H415" s="1"/>
      <c r="I415" s="1"/>
      <c r="J415" s="1"/>
      <c r="K415" s="1"/>
      <c r="L415" s="1"/>
    </row>
    <row r="416">
      <c r="B416" s="1"/>
      <c r="C416" s="1"/>
      <c r="D416" s="1"/>
      <c r="E416" s="1"/>
      <c r="F416" s="1"/>
      <c r="G416" s="1"/>
      <c r="H416" s="1"/>
      <c r="I416" s="1"/>
      <c r="J416" s="1"/>
      <c r="K416" s="1"/>
      <c r="L416" s="1"/>
    </row>
    <row r="417">
      <c r="B417" s="1"/>
      <c r="C417" s="1"/>
      <c r="D417" s="1"/>
      <c r="E417" s="1"/>
      <c r="F417" s="1"/>
      <c r="G417" s="1"/>
      <c r="H417" s="1"/>
      <c r="I417" s="1"/>
      <c r="J417" s="1"/>
      <c r="K417" s="1"/>
      <c r="L417" s="1"/>
    </row>
    <row r="418">
      <c r="B418" s="1"/>
      <c r="C418" s="1"/>
      <c r="D418" s="1"/>
      <c r="E418" s="1"/>
      <c r="F418" s="1"/>
      <c r="G418" s="1"/>
      <c r="H418" s="1"/>
      <c r="I418" s="1"/>
      <c r="J418" s="1"/>
      <c r="K418" s="1"/>
      <c r="L418" s="1"/>
    </row>
    <row r="419">
      <c r="B419" s="1"/>
      <c r="C419" s="1"/>
      <c r="D419" s="1"/>
      <c r="E419" s="1"/>
      <c r="F419" s="1"/>
      <c r="G419" s="1"/>
      <c r="H419" s="1"/>
      <c r="I419" s="1"/>
      <c r="J419" s="1"/>
      <c r="K419" s="1"/>
      <c r="L419" s="1"/>
    </row>
    <row r="420">
      <c r="B420" s="1"/>
      <c r="C420" s="1"/>
      <c r="D420" s="1"/>
      <c r="E420" s="1"/>
      <c r="F420" s="1"/>
      <c r="G420" s="1"/>
      <c r="H420" s="1"/>
      <c r="I420" s="1"/>
      <c r="J420" s="1"/>
      <c r="K420" s="1"/>
      <c r="L420" s="1"/>
    </row>
    <row r="421">
      <c r="B421" s="1"/>
      <c r="C421" s="1"/>
      <c r="D421" s="1"/>
      <c r="E421" s="1"/>
      <c r="F421" s="1"/>
      <c r="G421" s="1"/>
      <c r="H421" s="1"/>
      <c r="I421" s="1"/>
      <c r="J421" s="1"/>
      <c r="K421" s="1"/>
      <c r="L421" s="1"/>
    </row>
    <row r="422">
      <c r="B422" s="1"/>
      <c r="C422" s="1"/>
      <c r="D422" s="1"/>
      <c r="E422" s="1"/>
      <c r="F422" s="1"/>
      <c r="G422" s="1"/>
      <c r="H422" s="1"/>
      <c r="I422" s="1"/>
      <c r="J422" s="1"/>
      <c r="K422" s="1"/>
      <c r="L422" s="1"/>
    </row>
    <row r="423">
      <c r="B423" s="1"/>
      <c r="C423" s="1"/>
      <c r="D423" s="1"/>
      <c r="E423" s="1"/>
      <c r="F423" s="1"/>
      <c r="G423" s="1"/>
      <c r="H423" s="1"/>
      <c r="I423" s="1"/>
      <c r="J423" s="1"/>
      <c r="K423" s="1"/>
      <c r="L423" s="1"/>
    </row>
    <row r="424">
      <c r="B424" s="1"/>
      <c r="C424" s="1"/>
      <c r="D424" s="1"/>
      <c r="E424" s="1"/>
      <c r="F424" s="1"/>
      <c r="G424" s="1"/>
      <c r="H424" s="1"/>
      <c r="I424" s="1"/>
      <c r="J424" s="1"/>
      <c r="K424" s="1"/>
      <c r="L424" s="1"/>
    </row>
    <row r="425">
      <c r="B425" s="1"/>
      <c r="C425" s="1"/>
      <c r="D425" s="1"/>
      <c r="E425" s="1"/>
      <c r="F425" s="1"/>
      <c r="G425" s="1"/>
      <c r="H425" s="1"/>
      <c r="I425" s="1"/>
      <c r="J425" s="1"/>
      <c r="K425" s="1"/>
      <c r="L425" s="1"/>
    </row>
    <row r="426">
      <c r="B426" s="1"/>
      <c r="C426" s="1"/>
      <c r="D426" s="1"/>
      <c r="E426" s="1"/>
      <c r="F426" s="1"/>
      <c r="G426" s="1"/>
      <c r="H426" s="1"/>
      <c r="I426" s="1"/>
      <c r="J426" s="1"/>
      <c r="K426" s="1"/>
      <c r="L426" s="1"/>
    </row>
    <row r="427">
      <c r="B427" s="1"/>
      <c r="C427" s="1"/>
      <c r="D427" s="1"/>
      <c r="E427" s="1"/>
      <c r="F427" s="1"/>
      <c r="G427" s="1"/>
      <c r="H427" s="1"/>
      <c r="I427" s="1"/>
      <c r="J427" s="1"/>
      <c r="K427" s="1"/>
      <c r="L427" s="1"/>
    </row>
    <row r="428">
      <c r="B428" s="1"/>
      <c r="C428" s="1"/>
      <c r="D428" s="1"/>
      <c r="E428" s="1"/>
      <c r="F428" s="1"/>
      <c r="G428" s="1"/>
      <c r="H428" s="1"/>
      <c r="I428" s="1"/>
      <c r="J428" s="1"/>
      <c r="K428" s="1"/>
      <c r="L428" s="1"/>
    </row>
    <row r="429">
      <c r="B429" s="1"/>
      <c r="C429" s="1"/>
      <c r="D429" s="1"/>
      <c r="E429" s="1"/>
      <c r="F429" s="1"/>
      <c r="G429" s="1"/>
      <c r="H429" s="1"/>
      <c r="I429" s="1"/>
      <c r="J429" s="1"/>
      <c r="K429" s="1"/>
      <c r="L429" s="1"/>
    </row>
    <row r="430">
      <c r="B430" s="1"/>
      <c r="C430" s="1"/>
      <c r="D430" s="1"/>
      <c r="E430" s="1"/>
      <c r="F430" s="1"/>
      <c r="G430" s="1"/>
      <c r="H430" s="1"/>
      <c r="I430" s="1"/>
      <c r="J430" s="1"/>
      <c r="K430" s="1"/>
      <c r="L430" s="1"/>
    </row>
    <row r="431">
      <c r="B431" s="1"/>
      <c r="C431" s="1"/>
      <c r="D431" s="1"/>
      <c r="E431" s="1"/>
      <c r="F431" s="1"/>
      <c r="G431" s="1"/>
      <c r="H431" s="1"/>
      <c r="I431" s="1"/>
      <c r="J431" s="1"/>
      <c r="K431" s="1"/>
      <c r="L431" s="1"/>
    </row>
    <row r="432">
      <c r="B432" s="1"/>
      <c r="C432" s="1"/>
      <c r="D432" s="1"/>
      <c r="E432" s="1"/>
      <c r="F432" s="1"/>
      <c r="G432" s="1"/>
      <c r="H432" s="1"/>
      <c r="I432" s="1"/>
      <c r="J432" s="1"/>
      <c r="K432" s="1"/>
      <c r="L432" s="1"/>
    </row>
    <row r="433">
      <c r="B433" s="1"/>
      <c r="C433" s="1"/>
      <c r="D433" s="1"/>
      <c r="E433" s="1"/>
      <c r="F433" s="1"/>
      <c r="G433" s="1"/>
      <c r="H433" s="1"/>
      <c r="I433" s="1"/>
      <c r="J433" s="1"/>
      <c r="K433" s="1"/>
      <c r="L433" s="1"/>
    </row>
    <row r="434">
      <c r="B434" s="1"/>
      <c r="C434" s="1"/>
      <c r="D434" s="1"/>
      <c r="E434" s="1"/>
      <c r="F434" s="1"/>
      <c r="G434" s="1"/>
      <c r="H434" s="1"/>
      <c r="I434" s="1"/>
      <c r="J434" s="1"/>
      <c r="K434" s="1"/>
      <c r="L434" s="1"/>
    </row>
    <row r="435">
      <c r="B435" s="1"/>
      <c r="C435" s="1"/>
      <c r="D435" s="1"/>
      <c r="E435" s="1"/>
      <c r="F435" s="1"/>
      <c r="G435" s="1"/>
      <c r="H435" s="1"/>
      <c r="I435" s="1"/>
      <c r="J435" s="1"/>
      <c r="K435" s="1"/>
      <c r="L435" s="1"/>
    </row>
    <row r="436">
      <c r="B436" s="1"/>
      <c r="C436" s="1"/>
      <c r="D436" s="1"/>
      <c r="E436" s="1"/>
      <c r="F436" s="1"/>
      <c r="G436" s="1"/>
      <c r="H436" s="1"/>
      <c r="I436" s="1"/>
      <c r="J436" s="1"/>
      <c r="K436" s="1"/>
      <c r="L436" s="1"/>
    </row>
    <row r="437">
      <c r="B437" s="1"/>
      <c r="C437" s="1"/>
      <c r="D437" s="1"/>
      <c r="E437" s="1"/>
      <c r="F437" s="1"/>
      <c r="G437" s="1"/>
      <c r="H437" s="1"/>
      <c r="I437" s="1"/>
      <c r="J437" s="1"/>
      <c r="K437" s="1"/>
      <c r="L437" s="1"/>
    </row>
    <row r="438">
      <c r="B438" s="1"/>
      <c r="C438" s="1"/>
      <c r="D438" s="1"/>
      <c r="E438" s="1"/>
      <c r="F438" s="1"/>
      <c r="G438" s="1"/>
      <c r="H438" s="1"/>
      <c r="I438" s="1"/>
      <c r="J438" s="1"/>
      <c r="K438" s="1"/>
      <c r="L438" s="1"/>
    </row>
    <row r="439">
      <c r="B439" s="1"/>
      <c r="C439" s="1"/>
      <c r="D439" s="1"/>
      <c r="E439" s="1"/>
      <c r="F439" s="1"/>
      <c r="G439" s="1"/>
      <c r="H439" s="1"/>
      <c r="I439" s="1"/>
      <c r="J439" s="1"/>
      <c r="K439" s="1"/>
      <c r="L439" s="1"/>
    </row>
    <row r="440">
      <c r="B440" s="1"/>
      <c r="C440" s="1"/>
      <c r="D440" s="1"/>
      <c r="E440" s="1"/>
      <c r="F440" s="1"/>
      <c r="G440" s="1"/>
      <c r="H440" s="1"/>
      <c r="I440" s="1"/>
      <c r="J440" s="1"/>
      <c r="K440" s="1"/>
      <c r="L440" s="1"/>
    </row>
    <row r="441">
      <c r="B441" s="1"/>
      <c r="C441" s="1"/>
      <c r="D441" s="1"/>
      <c r="E441" s="1"/>
      <c r="F441" s="1"/>
      <c r="G441" s="1"/>
      <c r="H441" s="1"/>
      <c r="I441" s="1"/>
      <c r="J441" s="1"/>
      <c r="K441" s="1"/>
      <c r="L441" s="1"/>
    </row>
    <row r="442">
      <c r="B442" s="1"/>
      <c r="C442" s="1"/>
      <c r="D442" s="1"/>
      <c r="E442" s="1"/>
      <c r="F442" s="1"/>
      <c r="G442" s="1"/>
      <c r="H442" s="1"/>
      <c r="I442" s="1"/>
      <c r="J442" s="1"/>
      <c r="K442" s="1"/>
      <c r="L442" s="1"/>
    </row>
    <row r="443">
      <c r="B443" s="1"/>
      <c r="C443" s="1"/>
      <c r="D443" s="1"/>
      <c r="E443" s="1"/>
      <c r="F443" s="1"/>
      <c r="G443" s="1"/>
      <c r="H443" s="1"/>
      <c r="I443" s="1"/>
      <c r="J443" s="1"/>
      <c r="K443" s="1"/>
      <c r="L443" s="1"/>
    </row>
    <row r="444">
      <c r="B444" s="1"/>
      <c r="C444" s="1"/>
      <c r="D444" s="1"/>
      <c r="E444" s="1"/>
      <c r="F444" s="1"/>
      <c r="G444" s="1"/>
      <c r="H444" s="1"/>
      <c r="I444" s="1"/>
      <c r="J444" s="1"/>
      <c r="K444" s="1"/>
      <c r="L444" s="1"/>
    </row>
    <row r="445">
      <c r="B445" s="1"/>
      <c r="C445" s="1"/>
      <c r="D445" s="1"/>
      <c r="E445" s="1"/>
      <c r="F445" s="1"/>
      <c r="G445" s="1"/>
      <c r="H445" s="1"/>
      <c r="I445" s="1"/>
      <c r="J445" s="1"/>
      <c r="K445" s="1"/>
      <c r="L445" s="1"/>
    </row>
    <row r="446">
      <c r="B446" s="1"/>
      <c r="C446" s="1"/>
      <c r="D446" s="1"/>
      <c r="E446" s="1"/>
      <c r="F446" s="1"/>
      <c r="G446" s="1"/>
      <c r="H446" s="1"/>
      <c r="I446" s="1"/>
      <c r="J446" s="1"/>
      <c r="K446" s="1"/>
      <c r="L446" s="1"/>
    </row>
    <row r="447">
      <c r="B447" s="1"/>
      <c r="C447" s="1"/>
      <c r="D447" s="1"/>
      <c r="E447" s="1"/>
      <c r="F447" s="1"/>
      <c r="G447" s="1"/>
      <c r="H447" s="1"/>
      <c r="I447" s="1"/>
      <c r="J447" s="1"/>
      <c r="K447" s="1"/>
      <c r="L447" s="1"/>
    </row>
    <row r="448">
      <c r="B448" s="1"/>
      <c r="C448" s="1"/>
      <c r="D448" s="1"/>
      <c r="E448" s="1"/>
      <c r="F448" s="1"/>
      <c r="G448" s="1"/>
      <c r="H448" s="1"/>
      <c r="I448" s="1"/>
      <c r="J448" s="1"/>
      <c r="K448" s="1"/>
      <c r="L448" s="1"/>
    </row>
    <row r="449">
      <c r="B449" s="1"/>
      <c r="C449" s="1"/>
      <c r="D449" s="1"/>
      <c r="E449" s="1"/>
      <c r="F449" s="1"/>
      <c r="G449" s="1"/>
      <c r="H449" s="1"/>
      <c r="I449" s="1"/>
      <c r="J449" s="1"/>
      <c r="K449" s="1"/>
      <c r="L449" s="1"/>
    </row>
    <row r="450">
      <c r="B450" s="1"/>
      <c r="C450" s="1"/>
      <c r="D450" s="1"/>
      <c r="E450" s="1"/>
      <c r="F450" s="1"/>
      <c r="G450" s="1"/>
      <c r="H450" s="1"/>
      <c r="I450" s="1"/>
      <c r="J450" s="1"/>
      <c r="K450" s="1"/>
      <c r="L450" s="1"/>
    </row>
    <row r="451">
      <c r="B451" s="1"/>
      <c r="C451" s="1"/>
      <c r="D451" s="1"/>
      <c r="E451" s="1"/>
      <c r="F451" s="1"/>
      <c r="G451" s="1"/>
      <c r="H451" s="1"/>
      <c r="I451" s="1"/>
      <c r="J451" s="1"/>
      <c r="K451" s="1"/>
      <c r="L451" s="1"/>
    </row>
    <row r="452">
      <c r="B452" s="1"/>
      <c r="C452" s="1"/>
      <c r="D452" s="1"/>
      <c r="E452" s="1"/>
      <c r="F452" s="1"/>
      <c r="G452" s="1"/>
      <c r="H452" s="1"/>
      <c r="I452" s="1"/>
      <c r="J452" s="1"/>
      <c r="K452" s="1"/>
      <c r="L452" s="1"/>
    </row>
    <row r="453">
      <c r="B453" s="1"/>
      <c r="C453" s="1"/>
      <c r="D453" s="1"/>
      <c r="E453" s="1"/>
      <c r="F453" s="1"/>
      <c r="G453" s="1"/>
      <c r="H453" s="1"/>
      <c r="I453" s="1"/>
      <c r="J453" s="1"/>
      <c r="K453" s="1"/>
      <c r="L453" s="1"/>
    </row>
    <row r="454">
      <c r="B454" s="1"/>
      <c r="C454" s="1"/>
      <c r="D454" s="1"/>
      <c r="E454" s="1"/>
      <c r="F454" s="1"/>
      <c r="G454" s="1"/>
      <c r="H454" s="1"/>
      <c r="I454" s="1"/>
      <c r="J454" s="1"/>
      <c r="K454" s="1"/>
      <c r="L454" s="1"/>
    </row>
    <row r="455">
      <c r="B455" s="1"/>
      <c r="C455" s="1"/>
      <c r="D455" s="1"/>
      <c r="E455" s="1"/>
      <c r="F455" s="1"/>
      <c r="G455" s="1"/>
      <c r="H455" s="1"/>
      <c r="I455" s="1"/>
      <c r="J455" s="1"/>
      <c r="K455" s="1"/>
      <c r="L455" s="1"/>
    </row>
    <row r="456">
      <c r="B456" s="1"/>
      <c r="C456" s="1"/>
      <c r="D456" s="1"/>
      <c r="E456" s="1"/>
      <c r="F456" s="1"/>
      <c r="G456" s="1"/>
      <c r="H456" s="1"/>
      <c r="I456" s="1"/>
      <c r="J456" s="1"/>
      <c r="K456" s="1"/>
      <c r="L456" s="1"/>
    </row>
    <row r="457">
      <c r="B457" s="1"/>
      <c r="C457" s="1"/>
      <c r="D457" s="1"/>
      <c r="E457" s="1"/>
      <c r="F457" s="1"/>
      <c r="G457" s="1"/>
      <c r="H457" s="1"/>
      <c r="I457" s="1"/>
      <c r="J457" s="1"/>
      <c r="K457" s="1"/>
      <c r="L457" s="1"/>
    </row>
    <row r="458">
      <c r="B458" s="1"/>
      <c r="C458" s="1"/>
      <c r="D458" s="1"/>
      <c r="E458" s="1"/>
      <c r="F458" s="1"/>
      <c r="G458" s="1"/>
      <c r="H458" s="1"/>
      <c r="I458" s="1"/>
      <c r="J458" s="1"/>
      <c r="K458" s="1"/>
      <c r="L458" s="1"/>
    </row>
    <row r="459">
      <c r="B459" s="1"/>
      <c r="C459" s="1"/>
      <c r="D459" s="1"/>
      <c r="E459" s="1"/>
      <c r="F459" s="1"/>
      <c r="G459" s="1"/>
      <c r="H459" s="1"/>
      <c r="I459" s="1"/>
      <c r="J459" s="1"/>
      <c r="K459" s="1"/>
      <c r="L459" s="1"/>
    </row>
    <row r="460">
      <c r="B460" s="1"/>
      <c r="C460" s="1"/>
      <c r="D460" s="1"/>
      <c r="E460" s="1"/>
      <c r="F460" s="1"/>
      <c r="G460" s="1"/>
      <c r="H460" s="1"/>
      <c r="I460" s="1"/>
      <c r="J460" s="1"/>
      <c r="K460" s="1"/>
      <c r="L460" s="1"/>
    </row>
    <row r="461">
      <c r="B461" s="1"/>
      <c r="C461" s="1"/>
      <c r="D461" s="1"/>
      <c r="E461" s="1"/>
      <c r="F461" s="1"/>
      <c r="G461" s="1"/>
      <c r="H461" s="1"/>
      <c r="I461" s="1"/>
      <c r="J461" s="1"/>
      <c r="K461" s="1"/>
      <c r="L461" s="1"/>
    </row>
    <row r="462">
      <c r="B462" s="1"/>
      <c r="C462" s="1"/>
      <c r="D462" s="1"/>
      <c r="E462" s="1"/>
      <c r="F462" s="1"/>
      <c r="G462" s="1"/>
      <c r="H462" s="1"/>
      <c r="I462" s="1"/>
      <c r="J462" s="1"/>
      <c r="K462" s="1"/>
      <c r="L462" s="1"/>
    </row>
    <row r="463">
      <c r="B463" s="1"/>
      <c r="C463" s="1"/>
      <c r="D463" s="1"/>
      <c r="E463" s="1"/>
      <c r="F463" s="1"/>
      <c r="G463" s="1"/>
      <c r="H463" s="1"/>
      <c r="I463" s="1"/>
      <c r="J463" s="1"/>
      <c r="K463" s="1"/>
      <c r="L463" s="1"/>
    </row>
    <row r="464">
      <c r="B464" s="1"/>
      <c r="C464" s="1"/>
      <c r="D464" s="1"/>
      <c r="E464" s="1"/>
      <c r="F464" s="1"/>
      <c r="G464" s="1"/>
      <c r="H464" s="1"/>
      <c r="I464" s="1"/>
      <c r="J464" s="1"/>
      <c r="K464" s="1"/>
      <c r="L464" s="1"/>
    </row>
    <row r="465">
      <c r="B465" s="1"/>
      <c r="C465" s="1"/>
      <c r="D465" s="1"/>
      <c r="E465" s="1"/>
      <c r="F465" s="1"/>
      <c r="G465" s="1"/>
      <c r="H465" s="1"/>
      <c r="I465" s="1"/>
      <c r="J465" s="1"/>
      <c r="K465" s="1"/>
      <c r="L465" s="1"/>
    </row>
    <row r="466">
      <c r="B466" s="1"/>
      <c r="C466" s="1"/>
      <c r="D466" s="1"/>
      <c r="E466" s="1"/>
      <c r="F466" s="1"/>
      <c r="G466" s="1"/>
      <c r="H466" s="1"/>
      <c r="I466" s="1"/>
      <c r="J466" s="1"/>
      <c r="K466" s="1"/>
      <c r="L466" s="1"/>
    </row>
    <row r="467">
      <c r="B467" s="1"/>
      <c r="C467" s="1"/>
      <c r="D467" s="1"/>
      <c r="E467" s="1"/>
      <c r="F467" s="1"/>
      <c r="G467" s="1"/>
      <c r="H467" s="1"/>
      <c r="I467" s="1"/>
      <c r="J467" s="1"/>
      <c r="K467" s="1"/>
      <c r="L467" s="1"/>
    </row>
    <row r="468">
      <c r="B468" s="1"/>
      <c r="C468" s="1"/>
      <c r="D468" s="1"/>
      <c r="E468" s="1"/>
      <c r="F468" s="1"/>
      <c r="G468" s="1"/>
      <c r="H468" s="1"/>
      <c r="I468" s="1"/>
      <c r="J468" s="1"/>
      <c r="K468" s="1"/>
      <c r="L468" s="1"/>
    </row>
    <row r="469">
      <c r="B469" s="1"/>
      <c r="C469" s="1"/>
      <c r="D469" s="1"/>
      <c r="E469" s="1"/>
      <c r="F469" s="1"/>
      <c r="G469" s="1"/>
      <c r="H469" s="1"/>
      <c r="I469" s="1"/>
      <c r="J469" s="1"/>
      <c r="K469" s="1"/>
      <c r="L469" s="1"/>
    </row>
    <row r="470">
      <c r="B470" s="1"/>
      <c r="C470" s="1"/>
      <c r="D470" s="1"/>
      <c r="E470" s="1"/>
      <c r="F470" s="1"/>
      <c r="G470" s="1"/>
      <c r="H470" s="1"/>
      <c r="I470" s="1"/>
      <c r="J470" s="1"/>
      <c r="K470" s="1"/>
      <c r="L470" s="1"/>
    </row>
    <row r="471">
      <c r="B471" s="1"/>
      <c r="C471" s="1"/>
      <c r="D471" s="1"/>
      <c r="E471" s="1"/>
      <c r="F471" s="1"/>
      <c r="G471" s="1"/>
      <c r="H471" s="1"/>
      <c r="I471" s="1"/>
      <c r="J471" s="1"/>
      <c r="K471" s="1"/>
      <c r="L471" s="1"/>
    </row>
    <row r="472">
      <c r="B472" s="1"/>
      <c r="C472" s="1"/>
      <c r="D472" s="1"/>
      <c r="E472" s="1"/>
      <c r="F472" s="1"/>
      <c r="G472" s="1"/>
      <c r="H472" s="1"/>
      <c r="I472" s="1"/>
      <c r="J472" s="1"/>
      <c r="K472" s="1"/>
      <c r="L472" s="1"/>
    </row>
    <row r="473">
      <c r="B473" s="1"/>
      <c r="C473" s="1"/>
      <c r="D473" s="1"/>
      <c r="E473" s="1"/>
      <c r="F473" s="1"/>
      <c r="G473" s="1"/>
      <c r="H473" s="1"/>
      <c r="I473" s="1"/>
      <c r="J473" s="1"/>
      <c r="K473" s="1"/>
      <c r="L473" s="1"/>
    </row>
    <row r="474">
      <c r="B474" s="1"/>
      <c r="C474" s="1"/>
      <c r="D474" s="1"/>
      <c r="E474" s="1"/>
      <c r="F474" s="1"/>
      <c r="G474" s="1"/>
      <c r="H474" s="1"/>
      <c r="I474" s="1"/>
      <c r="J474" s="1"/>
      <c r="K474" s="1"/>
      <c r="L474" s="1"/>
    </row>
    <row r="475">
      <c r="B475" s="1"/>
      <c r="C475" s="1"/>
      <c r="D475" s="1"/>
      <c r="E475" s="1"/>
      <c r="F475" s="1"/>
      <c r="G475" s="1"/>
      <c r="H475" s="1"/>
      <c r="I475" s="1"/>
      <c r="J475" s="1"/>
      <c r="K475" s="1"/>
      <c r="L475" s="1"/>
    </row>
    <row r="476">
      <c r="B476" s="1"/>
      <c r="C476" s="1"/>
      <c r="D476" s="1"/>
      <c r="E476" s="1"/>
      <c r="F476" s="1"/>
      <c r="G476" s="1"/>
      <c r="H476" s="1"/>
      <c r="I476" s="1"/>
      <c r="J476" s="1"/>
      <c r="K476" s="1"/>
      <c r="L476" s="1"/>
    </row>
    <row r="477">
      <c r="B477" s="1"/>
      <c r="C477" s="1"/>
      <c r="D477" s="1"/>
      <c r="E477" s="1"/>
      <c r="F477" s="1"/>
      <c r="G477" s="1"/>
      <c r="H477" s="1"/>
      <c r="I477" s="1"/>
      <c r="J477" s="1"/>
      <c r="K477" s="1"/>
      <c r="L477" s="1"/>
    </row>
    <row r="478">
      <c r="B478" s="1"/>
      <c r="C478" s="1"/>
      <c r="D478" s="1"/>
      <c r="E478" s="1"/>
      <c r="F478" s="1"/>
      <c r="G478" s="1"/>
      <c r="H478" s="1"/>
      <c r="I478" s="1"/>
      <c r="J478" s="1"/>
      <c r="K478" s="1"/>
      <c r="L478" s="1"/>
    </row>
    <row r="479">
      <c r="B479" s="1"/>
      <c r="C479" s="1"/>
      <c r="D479" s="1"/>
      <c r="E479" s="1"/>
      <c r="F479" s="1"/>
      <c r="G479" s="1"/>
      <c r="H479" s="1"/>
      <c r="I479" s="1"/>
      <c r="J479" s="1"/>
      <c r="K479" s="1"/>
      <c r="L479" s="1"/>
    </row>
    <row r="480">
      <c r="B480" s="1"/>
      <c r="C480" s="1"/>
      <c r="D480" s="1"/>
      <c r="E480" s="1"/>
      <c r="F480" s="1"/>
      <c r="G480" s="1"/>
      <c r="H480" s="1"/>
      <c r="I480" s="1"/>
      <c r="J480" s="1"/>
      <c r="K480" s="1"/>
      <c r="L480" s="1"/>
    </row>
    <row r="481">
      <c r="B481" s="1"/>
      <c r="C481" s="1"/>
      <c r="D481" s="1"/>
      <c r="E481" s="1"/>
      <c r="F481" s="1"/>
      <c r="G481" s="1"/>
      <c r="H481" s="1"/>
      <c r="I481" s="1"/>
      <c r="J481" s="1"/>
      <c r="K481" s="1"/>
      <c r="L481" s="1"/>
    </row>
    <row r="482">
      <c r="B482" s="1"/>
      <c r="C482" s="1"/>
      <c r="D482" s="1"/>
      <c r="E482" s="1"/>
      <c r="F482" s="1"/>
      <c r="G482" s="1"/>
      <c r="H482" s="1"/>
      <c r="I482" s="1"/>
      <c r="J482" s="1"/>
      <c r="K482" s="1"/>
      <c r="L482" s="1"/>
    </row>
    <row r="483">
      <c r="B483" s="1"/>
      <c r="C483" s="1"/>
      <c r="D483" s="1"/>
      <c r="E483" s="1"/>
      <c r="F483" s="1"/>
      <c r="G483" s="1"/>
      <c r="H483" s="1"/>
      <c r="I483" s="1"/>
      <c r="J483" s="1"/>
      <c r="K483" s="1"/>
      <c r="L483" s="1"/>
    </row>
    <row r="484">
      <c r="B484" s="1"/>
      <c r="C484" s="1"/>
      <c r="D484" s="1"/>
      <c r="E484" s="1"/>
      <c r="F484" s="1"/>
      <c r="G484" s="1"/>
      <c r="H484" s="1"/>
      <c r="I484" s="1"/>
      <c r="J484" s="1"/>
      <c r="K484" s="1"/>
      <c r="L484" s="1"/>
    </row>
    <row r="485">
      <c r="B485" s="1"/>
      <c r="C485" s="1"/>
      <c r="D485" s="1"/>
      <c r="E485" s="1"/>
      <c r="F485" s="1"/>
      <c r="G485" s="1"/>
      <c r="H485" s="1"/>
      <c r="I485" s="1"/>
      <c r="J485" s="1"/>
      <c r="K485" s="1"/>
      <c r="L485" s="1"/>
    </row>
    <row r="486">
      <c r="B486" s="1"/>
      <c r="C486" s="1"/>
      <c r="D486" s="1"/>
      <c r="E486" s="1"/>
      <c r="F486" s="1"/>
      <c r="G486" s="1"/>
      <c r="H486" s="1"/>
      <c r="I486" s="1"/>
      <c r="J486" s="1"/>
      <c r="K486" s="1"/>
      <c r="L486" s="1"/>
    </row>
    <row r="487">
      <c r="B487" s="1"/>
      <c r="C487" s="1"/>
      <c r="D487" s="1"/>
      <c r="E487" s="1"/>
      <c r="F487" s="1"/>
      <c r="G487" s="1"/>
      <c r="H487" s="1"/>
      <c r="I487" s="1"/>
      <c r="J487" s="1"/>
      <c r="K487" s="1"/>
      <c r="L487" s="1"/>
    </row>
    <row r="488">
      <c r="B488" s="1"/>
      <c r="C488" s="1"/>
      <c r="D488" s="1"/>
      <c r="E488" s="1"/>
      <c r="F488" s="1"/>
      <c r="G488" s="1"/>
      <c r="H488" s="1"/>
      <c r="I488" s="1"/>
      <c r="J488" s="1"/>
      <c r="K488" s="1"/>
      <c r="L488" s="1"/>
    </row>
    <row r="489">
      <c r="B489" s="1"/>
      <c r="C489" s="1"/>
      <c r="D489" s="1"/>
      <c r="E489" s="1"/>
      <c r="F489" s="1"/>
      <c r="G489" s="1"/>
      <c r="H489" s="1"/>
      <c r="I489" s="1"/>
      <c r="J489" s="1"/>
      <c r="K489" s="1"/>
      <c r="L489" s="1"/>
    </row>
    <row r="490">
      <c r="B490" s="1"/>
      <c r="C490" s="1"/>
      <c r="D490" s="1"/>
      <c r="E490" s="1"/>
      <c r="F490" s="1"/>
      <c r="G490" s="1"/>
      <c r="H490" s="1"/>
      <c r="I490" s="1"/>
      <c r="J490" s="1"/>
      <c r="K490" s="1"/>
      <c r="L490" s="1"/>
    </row>
    <row r="491">
      <c r="B491" s="1"/>
      <c r="C491" s="1"/>
      <c r="D491" s="1"/>
      <c r="E491" s="1"/>
      <c r="F491" s="1"/>
      <c r="G491" s="1"/>
      <c r="H491" s="1"/>
      <c r="I491" s="1"/>
      <c r="J491" s="1"/>
      <c r="K491" s="1"/>
      <c r="L491" s="1"/>
    </row>
    <row r="492">
      <c r="B492" s="1"/>
      <c r="C492" s="1"/>
      <c r="D492" s="1"/>
      <c r="E492" s="1"/>
      <c r="F492" s="1"/>
      <c r="G492" s="1"/>
      <c r="H492" s="1"/>
      <c r="I492" s="1"/>
      <c r="J492" s="1"/>
      <c r="K492" s="1"/>
      <c r="L492" s="1"/>
    </row>
    <row r="493">
      <c r="B493" s="1"/>
      <c r="C493" s="1"/>
      <c r="D493" s="1"/>
      <c r="E493" s="1"/>
      <c r="F493" s="1"/>
      <c r="G493" s="1"/>
      <c r="H493" s="1"/>
      <c r="I493" s="1"/>
      <c r="J493" s="1"/>
      <c r="K493" s="1"/>
      <c r="L493" s="1"/>
    </row>
    <row r="494">
      <c r="B494" s="1"/>
      <c r="C494" s="1"/>
      <c r="D494" s="1"/>
      <c r="E494" s="1"/>
      <c r="F494" s="1"/>
      <c r="G494" s="1"/>
      <c r="H494" s="1"/>
      <c r="I494" s="1"/>
      <c r="J494" s="1"/>
      <c r="K494" s="1"/>
      <c r="L494" s="1"/>
    </row>
    <row r="495">
      <c r="B495" s="1"/>
      <c r="C495" s="1"/>
      <c r="D495" s="1"/>
      <c r="E495" s="1"/>
      <c r="F495" s="1"/>
      <c r="G495" s="1"/>
      <c r="H495" s="1"/>
      <c r="I495" s="1"/>
      <c r="J495" s="1"/>
      <c r="K495" s="1"/>
      <c r="L495" s="1"/>
    </row>
    <row r="496">
      <c r="B496" s="1"/>
      <c r="C496" s="1"/>
      <c r="D496" s="1"/>
      <c r="E496" s="1"/>
      <c r="F496" s="1"/>
      <c r="G496" s="1"/>
      <c r="H496" s="1"/>
      <c r="I496" s="1"/>
      <c r="J496" s="1"/>
      <c r="K496" s="1"/>
      <c r="L496" s="1"/>
    </row>
    <row r="497">
      <c r="B497" s="1"/>
      <c r="C497" s="1"/>
      <c r="D497" s="1"/>
      <c r="E497" s="1"/>
      <c r="F497" s="1"/>
      <c r="G497" s="1"/>
      <c r="H497" s="1"/>
      <c r="I497" s="1"/>
      <c r="J497" s="1"/>
      <c r="K497" s="1"/>
      <c r="L497" s="1"/>
    </row>
    <row r="498">
      <c r="B498" s="1"/>
      <c r="C498" s="1"/>
      <c r="D498" s="1"/>
      <c r="E498" s="1"/>
      <c r="F498" s="1"/>
      <c r="G498" s="1"/>
      <c r="H498" s="1"/>
      <c r="I498" s="1"/>
      <c r="J498" s="1"/>
      <c r="K498" s="1"/>
      <c r="L498" s="1"/>
    </row>
    <row r="499">
      <c r="B499" s="1"/>
      <c r="C499" s="1"/>
      <c r="D499" s="1"/>
      <c r="E499" s="1"/>
      <c r="F499" s="1"/>
      <c r="G499" s="1"/>
      <c r="H499" s="1"/>
      <c r="I499" s="1"/>
      <c r="J499" s="1"/>
      <c r="K499" s="1"/>
      <c r="L499" s="1"/>
    </row>
    <row r="500">
      <c r="B500" s="1"/>
      <c r="C500" s="1"/>
      <c r="D500" s="1"/>
      <c r="E500" s="1"/>
      <c r="F500" s="1"/>
      <c r="G500" s="1"/>
      <c r="H500" s="1"/>
      <c r="I500" s="1"/>
      <c r="J500" s="1"/>
      <c r="K500" s="1"/>
      <c r="L500" s="1"/>
    </row>
    <row r="501">
      <c r="B501" s="1"/>
      <c r="C501" s="1"/>
      <c r="D501" s="1"/>
      <c r="E501" s="1"/>
      <c r="F501" s="1"/>
      <c r="G501" s="1"/>
      <c r="H501" s="1"/>
      <c r="I501" s="1"/>
      <c r="J501" s="1"/>
      <c r="K501" s="1"/>
      <c r="L501" s="1"/>
    </row>
    <row r="502">
      <c r="B502" s="1"/>
      <c r="C502" s="1"/>
      <c r="D502" s="1"/>
      <c r="E502" s="1"/>
      <c r="F502" s="1"/>
      <c r="G502" s="1"/>
      <c r="H502" s="1"/>
      <c r="I502" s="1"/>
      <c r="J502" s="1"/>
      <c r="K502" s="1"/>
      <c r="L502" s="1"/>
    </row>
    <row r="503">
      <c r="B503" s="1"/>
      <c r="C503" s="1"/>
      <c r="D503" s="1"/>
      <c r="E503" s="1"/>
      <c r="F503" s="1"/>
      <c r="G503" s="1"/>
      <c r="H503" s="1"/>
      <c r="I503" s="1"/>
      <c r="J503" s="1"/>
      <c r="K503" s="1"/>
      <c r="L503" s="1"/>
    </row>
    <row r="504">
      <c r="B504" s="1"/>
      <c r="C504" s="1"/>
      <c r="D504" s="1"/>
      <c r="E504" s="1"/>
      <c r="F504" s="1"/>
      <c r="G504" s="1"/>
      <c r="H504" s="1"/>
      <c r="I504" s="1"/>
      <c r="J504" s="1"/>
      <c r="K504" s="1"/>
      <c r="L504" s="1"/>
    </row>
    <row r="505">
      <c r="B505" s="1"/>
      <c r="C505" s="1"/>
      <c r="D505" s="1"/>
      <c r="E505" s="1"/>
      <c r="F505" s="1"/>
      <c r="G505" s="1"/>
      <c r="H505" s="1"/>
      <c r="I505" s="1"/>
      <c r="J505" s="1"/>
      <c r="K505" s="1"/>
      <c r="L505" s="1"/>
    </row>
    <row r="506">
      <c r="B506" s="1"/>
      <c r="C506" s="1"/>
      <c r="D506" s="1"/>
      <c r="E506" s="1"/>
      <c r="F506" s="1"/>
      <c r="G506" s="1"/>
      <c r="H506" s="1"/>
      <c r="I506" s="1"/>
      <c r="J506" s="1"/>
      <c r="K506" s="1"/>
      <c r="L506" s="1"/>
    </row>
    <row r="507">
      <c r="B507" s="1"/>
      <c r="C507" s="1"/>
      <c r="D507" s="1"/>
      <c r="E507" s="1"/>
      <c r="F507" s="1"/>
      <c r="G507" s="1"/>
      <c r="H507" s="1"/>
      <c r="I507" s="1"/>
      <c r="J507" s="1"/>
      <c r="K507" s="1"/>
      <c r="L507" s="1"/>
    </row>
    <row r="508">
      <c r="B508" s="1"/>
      <c r="C508" s="1"/>
      <c r="D508" s="1"/>
      <c r="E508" s="1"/>
      <c r="F508" s="1"/>
      <c r="G508" s="1"/>
      <c r="H508" s="1"/>
      <c r="I508" s="1"/>
      <c r="J508" s="1"/>
      <c r="K508" s="1"/>
      <c r="L508" s="1"/>
    </row>
    <row r="509">
      <c r="B509" s="1"/>
      <c r="C509" s="1"/>
      <c r="D509" s="1"/>
      <c r="E509" s="1"/>
      <c r="F509" s="1"/>
      <c r="G509" s="1"/>
      <c r="H509" s="1"/>
      <c r="I509" s="1"/>
      <c r="J509" s="1"/>
      <c r="K509" s="1"/>
      <c r="L509" s="1"/>
    </row>
    <row r="510">
      <c r="B510" s="1"/>
      <c r="C510" s="1"/>
      <c r="D510" s="1"/>
      <c r="E510" s="1"/>
      <c r="F510" s="1"/>
      <c r="G510" s="1"/>
      <c r="H510" s="1"/>
      <c r="I510" s="1"/>
      <c r="J510" s="1"/>
      <c r="K510" s="1"/>
      <c r="L510" s="1"/>
    </row>
    <row r="511">
      <c r="B511" s="1"/>
      <c r="C511" s="1"/>
      <c r="D511" s="1"/>
      <c r="E511" s="1"/>
      <c r="F511" s="1"/>
      <c r="G511" s="1"/>
      <c r="H511" s="1"/>
      <c r="I511" s="1"/>
      <c r="J511" s="1"/>
      <c r="K511" s="1"/>
      <c r="L511" s="1"/>
    </row>
    <row r="512">
      <c r="B512" s="1"/>
      <c r="C512" s="1"/>
      <c r="D512" s="1"/>
      <c r="E512" s="1"/>
      <c r="F512" s="1"/>
      <c r="G512" s="1"/>
      <c r="H512" s="1"/>
      <c r="I512" s="1"/>
      <c r="J512" s="1"/>
      <c r="K512" s="1"/>
      <c r="L512" s="1"/>
    </row>
    <row r="513">
      <c r="B513" s="1"/>
      <c r="C513" s="1"/>
      <c r="D513" s="1"/>
      <c r="E513" s="1"/>
      <c r="F513" s="1"/>
      <c r="G513" s="1"/>
      <c r="H513" s="1"/>
      <c r="I513" s="1"/>
      <c r="J513" s="1"/>
      <c r="K513" s="1"/>
      <c r="L513" s="1"/>
    </row>
    <row r="514">
      <c r="B514" s="1"/>
      <c r="C514" s="1"/>
      <c r="D514" s="1"/>
      <c r="E514" s="1"/>
      <c r="F514" s="1"/>
      <c r="G514" s="1"/>
      <c r="H514" s="1"/>
      <c r="I514" s="1"/>
      <c r="J514" s="1"/>
      <c r="K514" s="1"/>
      <c r="L514" s="1"/>
    </row>
    <row r="515">
      <c r="B515" s="1"/>
      <c r="C515" s="1"/>
      <c r="D515" s="1"/>
      <c r="E515" s="1"/>
      <c r="F515" s="1"/>
      <c r="G515" s="1"/>
      <c r="H515" s="1"/>
      <c r="I515" s="1"/>
      <c r="J515" s="1"/>
      <c r="K515" s="1"/>
      <c r="L515" s="1"/>
    </row>
    <row r="516">
      <c r="B516" s="1"/>
      <c r="C516" s="1"/>
      <c r="D516" s="1"/>
      <c r="E516" s="1"/>
      <c r="F516" s="1"/>
      <c r="G516" s="1"/>
      <c r="H516" s="1"/>
      <c r="I516" s="1"/>
      <c r="J516" s="1"/>
      <c r="K516" s="1"/>
      <c r="L516" s="1"/>
    </row>
    <row r="517">
      <c r="B517" s="1"/>
      <c r="C517" s="1"/>
      <c r="D517" s="1"/>
      <c r="E517" s="1"/>
      <c r="F517" s="1"/>
      <c r="G517" s="1"/>
      <c r="H517" s="1"/>
      <c r="I517" s="1"/>
      <c r="J517" s="1"/>
      <c r="K517" s="1"/>
      <c r="L517" s="1"/>
    </row>
    <row r="518">
      <c r="B518" s="1"/>
      <c r="C518" s="1"/>
      <c r="D518" s="1"/>
      <c r="E518" s="1"/>
      <c r="F518" s="1"/>
      <c r="G518" s="1"/>
      <c r="H518" s="1"/>
      <c r="I518" s="1"/>
      <c r="J518" s="1"/>
      <c r="K518" s="1"/>
      <c r="L518" s="1"/>
    </row>
    <row r="519">
      <c r="B519" s="1"/>
      <c r="C519" s="1"/>
      <c r="D519" s="1"/>
      <c r="E519" s="1"/>
      <c r="F519" s="1"/>
      <c r="G519" s="1"/>
      <c r="H519" s="1"/>
      <c r="I519" s="1"/>
      <c r="J519" s="1"/>
      <c r="K519" s="1"/>
      <c r="L519" s="1"/>
    </row>
    <row r="520">
      <c r="B520" s="1"/>
      <c r="C520" s="1"/>
      <c r="D520" s="1"/>
      <c r="E520" s="1"/>
      <c r="F520" s="1"/>
      <c r="G520" s="1"/>
      <c r="H520" s="1"/>
      <c r="I520" s="1"/>
      <c r="J520" s="1"/>
      <c r="K520" s="1"/>
      <c r="L520" s="1"/>
    </row>
    <row r="521">
      <c r="B521" s="1"/>
      <c r="C521" s="1"/>
      <c r="D521" s="1"/>
      <c r="E521" s="1"/>
      <c r="F521" s="1"/>
      <c r="G521" s="1"/>
      <c r="H521" s="1"/>
      <c r="I521" s="1"/>
      <c r="J521" s="1"/>
      <c r="K521" s="1"/>
      <c r="L521" s="1"/>
    </row>
    <row r="522">
      <c r="B522" s="1"/>
      <c r="C522" s="1"/>
      <c r="D522" s="1"/>
      <c r="E522" s="1"/>
      <c r="F522" s="1"/>
      <c r="G522" s="1"/>
      <c r="H522" s="1"/>
      <c r="I522" s="1"/>
      <c r="J522" s="1"/>
      <c r="K522" s="1"/>
      <c r="L522" s="1"/>
    </row>
    <row r="523">
      <c r="B523" s="1"/>
      <c r="C523" s="1"/>
      <c r="D523" s="1"/>
      <c r="E523" s="1"/>
      <c r="F523" s="1"/>
      <c r="G523" s="1"/>
      <c r="H523" s="1"/>
      <c r="I523" s="1"/>
      <c r="J523" s="1"/>
      <c r="K523" s="1"/>
      <c r="L523" s="1"/>
    </row>
    <row r="524">
      <c r="B524" s="1"/>
      <c r="C524" s="1"/>
      <c r="D524" s="1"/>
      <c r="E524" s="1"/>
      <c r="F524" s="1"/>
      <c r="G524" s="1"/>
      <c r="H524" s="1"/>
      <c r="I524" s="1"/>
      <c r="J524" s="1"/>
      <c r="K524" s="1"/>
      <c r="L524" s="1"/>
    </row>
    <row r="525">
      <c r="B525" s="1"/>
      <c r="C525" s="1"/>
      <c r="D525" s="1"/>
      <c r="E525" s="1"/>
      <c r="F525" s="1"/>
      <c r="G525" s="1"/>
      <c r="H525" s="1"/>
      <c r="I525" s="1"/>
      <c r="J525" s="1"/>
      <c r="K525" s="1"/>
      <c r="L525" s="1"/>
    </row>
    <row r="526">
      <c r="B526" s="1"/>
      <c r="C526" s="1"/>
      <c r="D526" s="1"/>
      <c r="E526" s="1"/>
      <c r="F526" s="1"/>
      <c r="G526" s="1"/>
      <c r="H526" s="1"/>
      <c r="I526" s="1"/>
      <c r="J526" s="1"/>
      <c r="K526" s="1"/>
      <c r="L526" s="1"/>
    </row>
    <row r="527">
      <c r="B527" s="1"/>
      <c r="C527" s="1"/>
      <c r="D527" s="1"/>
      <c r="E527" s="1"/>
      <c r="F527" s="1"/>
      <c r="G527" s="1"/>
      <c r="H527" s="1"/>
      <c r="I527" s="1"/>
      <c r="J527" s="1"/>
      <c r="K527" s="1"/>
      <c r="L527" s="1"/>
    </row>
    <row r="528">
      <c r="B528" s="1"/>
      <c r="C528" s="1"/>
      <c r="D528" s="1"/>
      <c r="E528" s="1"/>
      <c r="F528" s="1"/>
      <c r="G528" s="1"/>
      <c r="H528" s="1"/>
      <c r="I528" s="1"/>
      <c r="J528" s="1"/>
      <c r="K528" s="1"/>
      <c r="L528" s="1"/>
    </row>
    <row r="529">
      <c r="B529" s="1"/>
      <c r="C529" s="1"/>
      <c r="D529" s="1"/>
      <c r="E529" s="1"/>
      <c r="F529" s="1"/>
      <c r="G529" s="1"/>
      <c r="H529" s="1"/>
      <c r="I529" s="1"/>
      <c r="J529" s="1"/>
      <c r="K529" s="1"/>
      <c r="L529" s="1"/>
    </row>
    <row r="530">
      <c r="B530" s="1"/>
      <c r="C530" s="1"/>
      <c r="D530" s="1"/>
      <c r="E530" s="1"/>
      <c r="F530" s="1"/>
      <c r="G530" s="1"/>
      <c r="H530" s="1"/>
      <c r="I530" s="1"/>
      <c r="J530" s="1"/>
      <c r="K530" s="1"/>
      <c r="L530" s="1"/>
    </row>
    <row r="531">
      <c r="B531" s="1"/>
      <c r="C531" s="1"/>
      <c r="D531" s="1"/>
      <c r="E531" s="1"/>
      <c r="F531" s="1"/>
      <c r="G531" s="1"/>
      <c r="H531" s="1"/>
      <c r="I531" s="1"/>
      <c r="J531" s="1"/>
      <c r="K531" s="1"/>
      <c r="L531" s="1"/>
    </row>
    <row r="532">
      <c r="B532" s="1"/>
      <c r="C532" s="1"/>
      <c r="D532" s="1"/>
      <c r="E532" s="1"/>
      <c r="F532" s="1"/>
      <c r="G532" s="1"/>
      <c r="H532" s="1"/>
      <c r="I532" s="1"/>
      <c r="J532" s="1"/>
      <c r="K532" s="1"/>
      <c r="L532" s="1"/>
    </row>
    <row r="533">
      <c r="B533" s="1"/>
      <c r="C533" s="1"/>
      <c r="D533" s="1"/>
      <c r="E533" s="1"/>
      <c r="F533" s="1"/>
      <c r="G533" s="1"/>
      <c r="H533" s="1"/>
      <c r="I533" s="1"/>
      <c r="J533" s="1"/>
      <c r="K533" s="1"/>
      <c r="L533" s="1"/>
    </row>
    <row r="534">
      <c r="B534" s="1"/>
      <c r="C534" s="1"/>
      <c r="D534" s="1"/>
      <c r="E534" s="1"/>
      <c r="F534" s="1"/>
      <c r="G534" s="1"/>
      <c r="H534" s="1"/>
      <c r="I534" s="1"/>
      <c r="J534" s="1"/>
      <c r="K534" s="1"/>
      <c r="L534" s="1"/>
    </row>
    <row r="535">
      <c r="B535" s="1"/>
      <c r="C535" s="1"/>
      <c r="D535" s="1"/>
      <c r="E535" s="1"/>
      <c r="F535" s="1"/>
      <c r="G535" s="1"/>
      <c r="H535" s="1"/>
      <c r="I535" s="1"/>
      <c r="J535" s="1"/>
      <c r="K535" s="1"/>
      <c r="L535" s="1"/>
    </row>
    <row r="536">
      <c r="B536" s="1"/>
      <c r="C536" s="1"/>
      <c r="D536" s="1"/>
      <c r="E536" s="1"/>
      <c r="F536" s="1"/>
      <c r="G536" s="1"/>
      <c r="H536" s="1"/>
      <c r="I536" s="1"/>
      <c r="J536" s="1"/>
      <c r="K536" s="1"/>
      <c r="L536" s="1"/>
    </row>
    <row r="537">
      <c r="B537" s="1"/>
      <c r="C537" s="1"/>
      <c r="D537" s="1"/>
      <c r="E537" s="1"/>
      <c r="F537" s="1"/>
      <c r="G537" s="1"/>
      <c r="H537" s="1"/>
      <c r="I537" s="1"/>
      <c r="J537" s="1"/>
      <c r="K537" s="1"/>
      <c r="L537" s="1"/>
    </row>
    <row r="538">
      <c r="B538" s="1"/>
      <c r="C538" s="1"/>
      <c r="D538" s="1"/>
      <c r="E538" s="1"/>
      <c r="F538" s="1"/>
      <c r="G538" s="1"/>
      <c r="H538" s="1"/>
      <c r="I538" s="1"/>
      <c r="J538" s="1"/>
      <c r="K538" s="1"/>
      <c r="L538" s="1"/>
    </row>
    <row r="539">
      <c r="B539" s="1"/>
      <c r="C539" s="1"/>
      <c r="D539" s="1"/>
      <c r="E539" s="1"/>
      <c r="F539" s="1"/>
      <c r="G539" s="1"/>
      <c r="H539" s="1"/>
      <c r="I539" s="1"/>
      <c r="J539" s="1"/>
      <c r="K539" s="1"/>
      <c r="L539" s="1"/>
    </row>
    <row r="540">
      <c r="B540" s="1"/>
      <c r="C540" s="1"/>
      <c r="D540" s="1"/>
      <c r="E540" s="1"/>
      <c r="F540" s="1"/>
      <c r="G540" s="1"/>
      <c r="H540" s="1"/>
      <c r="I540" s="1"/>
      <c r="J540" s="1"/>
      <c r="K540" s="1"/>
      <c r="L540" s="1"/>
    </row>
    <row r="541">
      <c r="B541" s="1"/>
      <c r="C541" s="1"/>
      <c r="D541" s="1"/>
      <c r="E541" s="1"/>
      <c r="F541" s="1"/>
      <c r="G541" s="1"/>
      <c r="H541" s="1"/>
      <c r="I541" s="1"/>
      <c r="J541" s="1"/>
      <c r="K541" s="1"/>
      <c r="L541" s="1"/>
    </row>
    <row r="542">
      <c r="B542" s="1"/>
      <c r="C542" s="1"/>
      <c r="D542" s="1"/>
      <c r="E542" s="1"/>
      <c r="F542" s="1"/>
      <c r="G542" s="1"/>
      <c r="H542" s="1"/>
      <c r="I542" s="1"/>
      <c r="J542" s="1"/>
      <c r="K542" s="1"/>
      <c r="L542" s="1"/>
    </row>
    <row r="543">
      <c r="B543" s="1"/>
      <c r="C543" s="1"/>
      <c r="D543" s="1"/>
      <c r="E543" s="1"/>
      <c r="F543" s="1"/>
      <c r="G543" s="1"/>
      <c r="H543" s="1"/>
      <c r="I543" s="1"/>
      <c r="J543" s="1"/>
      <c r="K543" s="1"/>
      <c r="L543" s="1"/>
    </row>
    <row r="544">
      <c r="B544" s="1"/>
      <c r="C544" s="1"/>
      <c r="D544" s="1"/>
      <c r="E544" s="1"/>
      <c r="F544" s="1"/>
      <c r="G544" s="1"/>
      <c r="H544" s="1"/>
      <c r="I544" s="1"/>
      <c r="J544" s="1"/>
      <c r="K544" s="1"/>
      <c r="L544" s="1"/>
    </row>
    <row r="545">
      <c r="B545" s="1"/>
      <c r="C545" s="1"/>
      <c r="D545" s="1"/>
      <c r="E545" s="1"/>
      <c r="F545" s="1"/>
      <c r="G545" s="1"/>
      <c r="H545" s="1"/>
      <c r="I545" s="1"/>
      <c r="J545" s="1"/>
      <c r="K545" s="1"/>
      <c r="L545" s="1"/>
    </row>
    <row r="546">
      <c r="B546" s="1"/>
      <c r="C546" s="1"/>
      <c r="D546" s="1"/>
      <c r="E546" s="1"/>
      <c r="F546" s="1"/>
      <c r="G546" s="1"/>
      <c r="H546" s="1"/>
      <c r="I546" s="1"/>
      <c r="J546" s="1"/>
      <c r="K546" s="1"/>
      <c r="L546" s="1"/>
    </row>
    <row r="547">
      <c r="B547" s="1"/>
      <c r="C547" s="1"/>
      <c r="D547" s="1"/>
      <c r="E547" s="1"/>
      <c r="F547" s="1"/>
      <c r="G547" s="1"/>
      <c r="H547" s="1"/>
      <c r="I547" s="1"/>
      <c r="J547" s="1"/>
      <c r="K547" s="1"/>
      <c r="L547" s="1"/>
    </row>
    <row r="548">
      <c r="B548" s="1"/>
      <c r="C548" s="1"/>
      <c r="D548" s="1"/>
      <c r="E548" s="1"/>
      <c r="F548" s="1"/>
      <c r="G548" s="1"/>
      <c r="H548" s="1"/>
      <c r="I548" s="1"/>
      <c r="J548" s="1"/>
      <c r="K548" s="1"/>
      <c r="L548" s="1"/>
    </row>
    <row r="549">
      <c r="B549" s="1"/>
      <c r="C549" s="1"/>
      <c r="D549" s="1"/>
      <c r="E549" s="1"/>
      <c r="F549" s="1"/>
      <c r="G549" s="1"/>
      <c r="H549" s="1"/>
      <c r="I549" s="1"/>
      <c r="J549" s="1"/>
      <c r="K549" s="1"/>
      <c r="L549" s="1"/>
    </row>
    <row r="550">
      <c r="B550" s="1"/>
      <c r="C550" s="1"/>
      <c r="D550" s="1"/>
      <c r="E550" s="1"/>
      <c r="F550" s="1"/>
      <c r="G550" s="1"/>
      <c r="H550" s="1"/>
      <c r="I550" s="1"/>
      <c r="J550" s="1"/>
      <c r="K550" s="1"/>
      <c r="L550" s="1"/>
    </row>
    <row r="551">
      <c r="B551" s="1"/>
      <c r="C551" s="1"/>
      <c r="D551" s="1"/>
      <c r="E551" s="1"/>
      <c r="F551" s="1"/>
      <c r="G551" s="1"/>
      <c r="H551" s="1"/>
      <c r="I551" s="1"/>
      <c r="J551" s="1"/>
      <c r="K551" s="1"/>
      <c r="L551" s="1"/>
    </row>
    <row r="552">
      <c r="B552" s="1"/>
      <c r="C552" s="1"/>
      <c r="D552" s="1"/>
      <c r="E552" s="1"/>
      <c r="F552" s="1"/>
      <c r="G552" s="1"/>
      <c r="H552" s="1"/>
      <c r="I552" s="1"/>
      <c r="J552" s="1"/>
      <c r="K552" s="1"/>
      <c r="L552" s="1"/>
    </row>
    <row r="553">
      <c r="B553" s="1"/>
      <c r="C553" s="1"/>
      <c r="D553" s="1"/>
      <c r="E553" s="1"/>
      <c r="F553" s="1"/>
      <c r="G553" s="1"/>
      <c r="H553" s="1"/>
      <c r="I553" s="1"/>
      <c r="J553" s="1"/>
      <c r="K553" s="1"/>
      <c r="L553" s="1"/>
    </row>
    <row r="554">
      <c r="B554" s="1"/>
      <c r="C554" s="1"/>
      <c r="D554" s="1"/>
      <c r="E554" s="1"/>
      <c r="F554" s="1"/>
      <c r="G554" s="1"/>
      <c r="H554" s="1"/>
      <c r="I554" s="1"/>
      <c r="J554" s="1"/>
      <c r="K554" s="1"/>
      <c r="L554" s="1"/>
    </row>
    <row r="555">
      <c r="B555" s="1"/>
      <c r="C555" s="1"/>
      <c r="D555" s="1"/>
      <c r="E555" s="1"/>
      <c r="F555" s="1"/>
      <c r="G555" s="1"/>
      <c r="H555" s="1"/>
      <c r="I555" s="1"/>
      <c r="J555" s="1"/>
      <c r="K555" s="1"/>
      <c r="L555" s="1"/>
    </row>
    <row r="556">
      <c r="B556" s="1"/>
      <c r="C556" s="1"/>
      <c r="D556" s="1"/>
      <c r="E556" s="1"/>
      <c r="F556" s="1"/>
      <c r="G556" s="1"/>
      <c r="H556" s="1"/>
      <c r="I556" s="1"/>
      <c r="J556" s="1"/>
      <c r="K556" s="1"/>
      <c r="L556" s="1"/>
    </row>
    <row r="557">
      <c r="B557" s="1"/>
      <c r="C557" s="1"/>
      <c r="D557" s="1"/>
      <c r="E557" s="1"/>
      <c r="F557" s="1"/>
      <c r="G557" s="1"/>
      <c r="H557" s="1"/>
      <c r="I557" s="1"/>
      <c r="J557" s="1"/>
      <c r="K557" s="1"/>
      <c r="L557" s="1"/>
    </row>
    <row r="558">
      <c r="B558" s="1"/>
      <c r="C558" s="1"/>
      <c r="D558" s="1"/>
      <c r="E558" s="1"/>
      <c r="F558" s="1"/>
      <c r="G558" s="1"/>
      <c r="H558" s="1"/>
      <c r="I558" s="1"/>
      <c r="J558" s="1"/>
      <c r="K558" s="1"/>
      <c r="L558" s="1"/>
    </row>
    <row r="559">
      <c r="B559" s="1"/>
      <c r="C559" s="1"/>
      <c r="D559" s="1"/>
      <c r="E559" s="1"/>
      <c r="F559" s="1"/>
      <c r="G559" s="1"/>
      <c r="H559" s="1"/>
      <c r="I559" s="1"/>
      <c r="J559" s="1"/>
      <c r="K559" s="1"/>
      <c r="L559" s="1"/>
    </row>
    <row r="560">
      <c r="B560" s="1"/>
      <c r="C560" s="1"/>
      <c r="D560" s="1"/>
      <c r="E560" s="1"/>
      <c r="F560" s="1"/>
      <c r="G560" s="1"/>
      <c r="H560" s="1"/>
      <c r="I560" s="1"/>
      <c r="J560" s="1"/>
      <c r="K560" s="1"/>
      <c r="L560" s="1"/>
    </row>
    <row r="561">
      <c r="B561" s="1"/>
      <c r="C561" s="1"/>
      <c r="D561" s="1"/>
      <c r="E561" s="1"/>
      <c r="F561" s="1"/>
      <c r="G561" s="1"/>
      <c r="H561" s="1"/>
      <c r="I561" s="1"/>
      <c r="J561" s="1"/>
      <c r="K561" s="1"/>
      <c r="L561" s="1"/>
    </row>
    <row r="562">
      <c r="B562" s="1"/>
      <c r="C562" s="1"/>
      <c r="D562" s="1"/>
      <c r="E562" s="1"/>
      <c r="F562" s="1"/>
      <c r="G562" s="1"/>
      <c r="H562" s="1"/>
      <c r="I562" s="1"/>
      <c r="J562" s="1"/>
      <c r="K562" s="1"/>
      <c r="L562" s="1"/>
    </row>
    <row r="563">
      <c r="B563" s="1"/>
      <c r="C563" s="1"/>
      <c r="D563" s="1"/>
      <c r="E563" s="1"/>
      <c r="F563" s="1"/>
      <c r="G563" s="1"/>
      <c r="H563" s="1"/>
      <c r="I563" s="1"/>
      <c r="J563" s="1"/>
      <c r="K563" s="1"/>
      <c r="L563" s="1"/>
    </row>
    <row r="564">
      <c r="B564" s="1"/>
      <c r="C564" s="1"/>
      <c r="D564" s="1"/>
      <c r="E564" s="1"/>
      <c r="F564" s="1"/>
      <c r="G564" s="1"/>
      <c r="H564" s="1"/>
      <c r="I564" s="1"/>
      <c r="J564" s="1"/>
      <c r="K564" s="1"/>
      <c r="L564" s="1"/>
    </row>
    <row r="565">
      <c r="B565" s="1"/>
      <c r="C565" s="1"/>
      <c r="D565" s="1"/>
      <c r="E565" s="1"/>
      <c r="F565" s="1"/>
      <c r="G565" s="1"/>
      <c r="H565" s="1"/>
      <c r="I565" s="1"/>
      <c r="J565" s="1"/>
      <c r="K565" s="1"/>
      <c r="L565" s="1"/>
    </row>
    <row r="566">
      <c r="B566" s="1"/>
      <c r="C566" s="1"/>
      <c r="D566" s="1"/>
      <c r="E566" s="1"/>
      <c r="F566" s="1"/>
      <c r="G566" s="1"/>
      <c r="H566" s="1"/>
      <c r="I566" s="1"/>
      <c r="J566" s="1"/>
      <c r="K566" s="1"/>
      <c r="L566" s="1"/>
    </row>
    <row r="567">
      <c r="B567" s="1"/>
      <c r="C567" s="1"/>
      <c r="D567" s="1"/>
      <c r="E567" s="1"/>
      <c r="F567" s="1"/>
      <c r="G567" s="1"/>
      <c r="H567" s="1"/>
      <c r="I567" s="1"/>
      <c r="J567" s="1"/>
      <c r="K567" s="1"/>
      <c r="L567" s="1"/>
    </row>
    <row r="568">
      <c r="B568" s="1"/>
      <c r="C568" s="1"/>
      <c r="D568" s="1"/>
      <c r="E568" s="1"/>
      <c r="F568" s="1"/>
      <c r="G568" s="1"/>
      <c r="H568" s="1"/>
      <c r="I568" s="1"/>
      <c r="J568" s="1"/>
      <c r="K568" s="1"/>
      <c r="L568" s="1"/>
    </row>
    <row r="569">
      <c r="B569" s="1"/>
      <c r="C569" s="1"/>
      <c r="D569" s="1"/>
      <c r="E569" s="1"/>
      <c r="F569" s="1"/>
      <c r="G569" s="1"/>
      <c r="H569" s="1"/>
      <c r="I569" s="1"/>
      <c r="J569" s="1"/>
      <c r="K569" s="1"/>
      <c r="L569" s="1"/>
    </row>
    <row r="570">
      <c r="B570" s="1"/>
      <c r="C570" s="1"/>
      <c r="D570" s="1"/>
      <c r="E570" s="1"/>
      <c r="F570" s="1"/>
      <c r="G570" s="1"/>
      <c r="H570" s="1"/>
      <c r="I570" s="1"/>
      <c r="J570" s="1"/>
      <c r="K570" s="1"/>
      <c r="L570" s="1"/>
    </row>
    <row r="571">
      <c r="B571" s="1"/>
      <c r="C571" s="1"/>
      <c r="D571" s="1"/>
      <c r="E571" s="1"/>
      <c r="F571" s="1"/>
      <c r="G571" s="1"/>
      <c r="H571" s="1"/>
      <c r="I571" s="1"/>
      <c r="J571" s="1"/>
      <c r="K571" s="1"/>
      <c r="L571" s="1"/>
    </row>
    <row r="572">
      <c r="B572" s="1"/>
      <c r="C572" s="1"/>
      <c r="D572" s="1"/>
      <c r="E572" s="1"/>
      <c r="F572" s="1"/>
      <c r="G572" s="1"/>
      <c r="H572" s="1"/>
      <c r="I572" s="1"/>
      <c r="J572" s="1"/>
      <c r="K572" s="1"/>
      <c r="L572" s="1"/>
    </row>
    <row r="573">
      <c r="B573" s="1"/>
      <c r="C573" s="1"/>
      <c r="D573" s="1"/>
      <c r="E573" s="1"/>
      <c r="F573" s="1"/>
      <c r="G573" s="1"/>
      <c r="H573" s="1"/>
      <c r="I573" s="1"/>
      <c r="J573" s="1"/>
      <c r="K573" s="1"/>
      <c r="L573" s="1"/>
    </row>
    <row r="574">
      <c r="B574" s="1"/>
      <c r="C574" s="1"/>
      <c r="D574" s="1"/>
      <c r="E574" s="1"/>
      <c r="F574" s="1"/>
      <c r="G574" s="1"/>
      <c r="H574" s="1"/>
      <c r="I574" s="1"/>
      <c r="J574" s="1"/>
      <c r="K574" s="1"/>
      <c r="L574" s="1"/>
    </row>
    <row r="575">
      <c r="B575" s="1"/>
      <c r="C575" s="1"/>
      <c r="D575" s="1"/>
      <c r="E575" s="1"/>
      <c r="F575" s="1"/>
      <c r="G575" s="1"/>
      <c r="H575" s="1"/>
      <c r="I575" s="1"/>
      <c r="J575" s="1"/>
      <c r="K575" s="1"/>
      <c r="L575" s="1"/>
    </row>
    <row r="576">
      <c r="B576" s="1"/>
      <c r="C576" s="1"/>
      <c r="D576" s="1"/>
      <c r="E576" s="1"/>
      <c r="F576" s="1"/>
      <c r="G576" s="1"/>
      <c r="H576" s="1"/>
      <c r="I576" s="1"/>
      <c r="J576" s="1"/>
      <c r="K576" s="1"/>
      <c r="L576" s="1"/>
    </row>
    <row r="577">
      <c r="B577" s="1"/>
      <c r="C577" s="1"/>
      <c r="D577" s="1"/>
      <c r="E577" s="1"/>
      <c r="F577" s="1"/>
      <c r="G577" s="1"/>
      <c r="H577" s="1"/>
      <c r="I577" s="1"/>
      <c r="J577" s="1"/>
      <c r="K577" s="1"/>
      <c r="L577" s="1"/>
    </row>
    <row r="578">
      <c r="B578" s="1"/>
      <c r="C578" s="1"/>
      <c r="D578" s="1"/>
      <c r="E578" s="1"/>
      <c r="F578" s="1"/>
      <c r="G578" s="1"/>
      <c r="H578" s="1"/>
      <c r="I578" s="1"/>
      <c r="J578" s="1"/>
      <c r="K578" s="1"/>
      <c r="L578" s="1"/>
    </row>
    <row r="579">
      <c r="B579" s="1"/>
      <c r="C579" s="1"/>
      <c r="D579" s="1"/>
      <c r="E579" s="1"/>
      <c r="F579" s="1"/>
      <c r="G579" s="1"/>
      <c r="H579" s="1"/>
      <c r="I579" s="1"/>
      <c r="J579" s="1"/>
      <c r="K579" s="1"/>
      <c r="L579" s="1"/>
    </row>
    <row r="580">
      <c r="B580" s="1"/>
      <c r="C580" s="1"/>
      <c r="D580" s="1"/>
      <c r="E580" s="1"/>
      <c r="F580" s="1"/>
      <c r="G580" s="1"/>
      <c r="H580" s="1"/>
      <c r="I580" s="1"/>
      <c r="J580" s="1"/>
      <c r="K580" s="1"/>
      <c r="L580" s="1"/>
    </row>
    <row r="581">
      <c r="B581" s="1"/>
      <c r="C581" s="1"/>
      <c r="D581" s="1"/>
      <c r="E581" s="1"/>
      <c r="F581" s="1"/>
      <c r="G581" s="1"/>
      <c r="H581" s="1"/>
      <c r="I581" s="1"/>
      <c r="J581" s="1"/>
      <c r="K581" s="1"/>
      <c r="L581" s="1"/>
    </row>
    <row r="582">
      <c r="B582" s="1"/>
      <c r="C582" s="1"/>
      <c r="D582" s="1"/>
      <c r="E582" s="1"/>
      <c r="F582" s="1"/>
      <c r="G582" s="1"/>
      <c r="H582" s="1"/>
      <c r="I582" s="1"/>
      <c r="J582" s="1"/>
      <c r="K582" s="1"/>
      <c r="L582" s="1"/>
    </row>
    <row r="583">
      <c r="B583" s="1"/>
      <c r="C583" s="1"/>
      <c r="D583" s="1"/>
      <c r="E583" s="1"/>
      <c r="F583" s="1"/>
      <c r="G583" s="1"/>
      <c r="H583" s="1"/>
      <c r="I583" s="1"/>
      <c r="J583" s="1"/>
      <c r="K583" s="1"/>
      <c r="L583" s="1"/>
    </row>
    <row r="584">
      <c r="B584" s="1"/>
      <c r="C584" s="1"/>
      <c r="D584" s="1"/>
      <c r="E584" s="1"/>
      <c r="F584" s="1"/>
      <c r="G584" s="1"/>
      <c r="H584" s="1"/>
      <c r="I584" s="1"/>
      <c r="J584" s="1"/>
      <c r="K584" s="1"/>
      <c r="L584" s="1"/>
    </row>
    <row r="585">
      <c r="B585" s="1"/>
      <c r="C585" s="1"/>
      <c r="D585" s="1"/>
      <c r="E585" s="1"/>
      <c r="F585" s="1"/>
      <c r="G585" s="1"/>
      <c r="H585" s="1"/>
      <c r="I585" s="1"/>
      <c r="J585" s="1"/>
      <c r="K585" s="1"/>
      <c r="L585" s="1"/>
    </row>
    <row r="586">
      <c r="B586" s="1"/>
      <c r="C586" s="1"/>
      <c r="D586" s="1"/>
      <c r="E586" s="1"/>
      <c r="F586" s="1"/>
      <c r="G586" s="1"/>
      <c r="H586" s="1"/>
      <c r="I586" s="1"/>
      <c r="J586" s="1"/>
      <c r="K586" s="1"/>
      <c r="L586" s="1"/>
    </row>
    <row r="587">
      <c r="B587" s="1"/>
      <c r="C587" s="1"/>
      <c r="D587" s="1"/>
      <c r="E587" s="1"/>
      <c r="F587" s="1"/>
      <c r="G587" s="1"/>
      <c r="H587" s="1"/>
      <c r="I587" s="1"/>
      <c r="J587" s="1"/>
      <c r="K587" s="1"/>
      <c r="L587" s="1"/>
    </row>
    <row r="588">
      <c r="B588" s="1"/>
      <c r="C588" s="1"/>
      <c r="D588" s="1"/>
      <c r="E588" s="1"/>
      <c r="F588" s="1"/>
      <c r="G588" s="1"/>
      <c r="H588" s="1"/>
      <c r="I588" s="1"/>
      <c r="J588" s="1"/>
      <c r="K588" s="1"/>
      <c r="L588" s="1"/>
    </row>
    <row r="589">
      <c r="B589" s="1"/>
      <c r="C589" s="1"/>
      <c r="D589" s="1"/>
      <c r="E589" s="1"/>
      <c r="F589" s="1"/>
      <c r="G589" s="1"/>
      <c r="H589" s="1"/>
      <c r="I589" s="1"/>
      <c r="J589" s="1"/>
      <c r="K589" s="1"/>
      <c r="L589" s="1"/>
    </row>
    <row r="590">
      <c r="B590" s="1"/>
      <c r="C590" s="1"/>
      <c r="D590" s="1"/>
      <c r="E590" s="1"/>
      <c r="F590" s="1"/>
      <c r="G590" s="1"/>
      <c r="H590" s="1"/>
      <c r="I590" s="1"/>
      <c r="J590" s="1"/>
      <c r="K590" s="1"/>
      <c r="L590" s="1"/>
    </row>
    <row r="591">
      <c r="B591" s="1"/>
      <c r="C591" s="1"/>
      <c r="D591" s="1"/>
      <c r="E591" s="1"/>
      <c r="F591" s="1"/>
      <c r="G591" s="1"/>
      <c r="H591" s="1"/>
      <c r="I591" s="1"/>
      <c r="J591" s="1"/>
      <c r="K591" s="1"/>
      <c r="L591" s="1"/>
    </row>
    <row r="592">
      <c r="B592" s="1"/>
      <c r="C592" s="1"/>
      <c r="D592" s="1"/>
      <c r="E592" s="1"/>
      <c r="F592" s="1"/>
      <c r="G592" s="1"/>
      <c r="H592" s="1"/>
      <c r="I592" s="1"/>
      <c r="J592" s="1"/>
      <c r="K592" s="1"/>
      <c r="L592" s="1"/>
    </row>
    <row r="593">
      <c r="B593" s="1"/>
      <c r="C593" s="1"/>
      <c r="D593" s="1"/>
      <c r="E593" s="1"/>
      <c r="F593" s="1"/>
      <c r="G593" s="1"/>
      <c r="H593" s="1"/>
      <c r="I593" s="1"/>
      <c r="J593" s="1"/>
      <c r="K593" s="1"/>
      <c r="L593" s="1"/>
    </row>
    <row r="594">
      <c r="B594" s="1"/>
      <c r="C594" s="1"/>
      <c r="D594" s="1"/>
      <c r="E594" s="1"/>
      <c r="F594" s="1"/>
      <c r="G594" s="1"/>
      <c r="H594" s="1"/>
      <c r="I594" s="1"/>
      <c r="J594" s="1"/>
      <c r="K594" s="1"/>
      <c r="L594" s="1"/>
    </row>
    <row r="595">
      <c r="B595" s="1"/>
      <c r="C595" s="1"/>
      <c r="D595" s="1"/>
      <c r="E595" s="1"/>
      <c r="F595" s="1"/>
      <c r="G595" s="1"/>
      <c r="H595" s="1"/>
      <c r="I595" s="1"/>
      <c r="J595" s="1"/>
      <c r="K595" s="1"/>
      <c r="L595" s="1"/>
    </row>
    <row r="596">
      <c r="B596" s="1"/>
      <c r="C596" s="1"/>
      <c r="D596" s="1"/>
      <c r="E596" s="1"/>
      <c r="F596" s="1"/>
      <c r="G596" s="1"/>
      <c r="H596" s="1"/>
      <c r="I596" s="1"/>
      <c r="J596" s="1"/>
      <c r="K596" s="1"/>
      <c r="L596" s="1"/>
    </row>
    <row r="597">
      <c r="B597" s="1"/>
      <c r="C597" s="1"/>
      <c r="D597" s="1"/>
      <c r="E597" s="1"/>
      <c r="F597" s="1"/>
      <c r="G597" s="1"/>
      <c r="H597" s="1"/>
      <c r="I597" s="1"/>
      <c r="J597" s="1"/>
      <c r="K597" s="1"/>
      <c r="L597" s="1"/>
    </row>
    <row r="598">
      <c r="B598" s="1"/>
      <c r="C598" s="1"/>
      <c r="D598" s="1"/>
      <c r="E598" s="1"/>
      <c r="F598" s="1"/>
      <c r="G598" s="1"/>
      <c r="H598" s="1"/>
      <c r="I598" s="1"/>
      <c r="J598" s="1"/>
      <c r="K598" s="1"/>
      <c r="L598" s="1"/>
    </row>
    <row r="599">
      <c r="B599" s="1"/>
      <c r="C599" s="1"/>
      <c r="D599" s="1"/>
      <c r="E599" s="1"/>
      <c r="F599" s="1"/>
      <c r="G599" s="1"/>
      <c r="H599" s="1"/>
      <c r="I599" s="1"/>
      <c r="J599" s="1"/>
      <c r="K599" s="1"/>
      <c r="L599" s="1"/>
    </row>
    <row r="600">
      <c r="B600" s="1"/>
      <c r="C600" s="1"/>
      <c r="D600" s="1"/>
      <c r="E600" s="1"/>
      <c r="F600" s="1"/>
      <c r="G600" s="1"/>
      <c r="H600" s="1"/>
      <c r="I600" s="1"/>
      <c r="J600" s="1"/>
      <c r="K600" s="1"/>
      <c r="L600" s="1"/>
    </row>
    <row r="601">
      <c r="B601" s="1"/>
      <c r="C601" s="1"/>
      <c r="D601" s="1"/>
      <c r="E601" s="1"/>
      <c r="F601" s="1"/>
      <c r="G601" s="1"/>
      <c r="H601" s="1"/>
      <c r="I601" s="1"/>
      <c r="J601" s="1"/>
      <c r="K601" s="1"/>
      <c r="L601" s="1"/>
    </row>
    <row r="602">
      <c r="B602" s="1"/>
      <c r="C602" s="1"/>
      <c r="D602" s="1"/>
      <c r="E602" s="1"/>
      <c r="F602" s="1"/>
      <c r="G602" s="1"/>
      <c r="H602" s="1"/>
      <c r="I602" s="1"/>
      <c r="J602" s="1"/>
      <c r="K602" s="1"/>
      <c r="L602" s="1"/>
    </row>
    <row r="603">
      <c r="B603" s="1"/>
      <c r="C603" s="1"/>
      <c r="D603" s="1"/>
      <c r="E603" s="1"/>
      <c r="F603" s="1"/>
      <c r="G603" s="1"/>
      <c r="H603" s="1"/>
      <c r="I603" s="1"/>
      <c r="J603" s="1"/>
      <c r="K603" s="1"/>
      <c r="L603" s="1"/>
    </row>
    <row r="604">
      <c r="B604" s="1"/>
      <c r="C604" s="1"/>
      <c r="D604" s="1"/>
      <c r="E604" s="1"/>
      <c r="F604" s="1"/>
      <c r="G604" s="1"/>
      <c r="H604" s="1"/>
      <c r="I604" s="1"/>
      <c r="J604" s="1"/>
      <c r="K604" s="1"/>
      <c r="L604" s="1"/>
    </row>
    <row r="605">
      <c r="B605" s="1"/>
      <c r="C605" s="1"/>
      <c r="D605" s="1"/>
      <c r="E605" s="1"/>
      <c r="F605" s="1"/>
      <c r="G605" s="1"/>
      <c r="H605" s="1"/>
      <c r="I605" s="1"/>
      <c r="J605" s="1"/>
      <c r="K605" s="1"/>
      <c r="L605" s="1"/>
    </row>
    <row r="606">
      <c r="B606" s="1"/>
      <c r="C606" s="1"/>
      <c r="D606" s="1"/>
      <c r="E606" s="1"/>
      <c r="F606" s="1"/>
      <c r="G606" s="1"/>
      <c r="H606" s="1"/>
      <c r="I606" s="1"/>
      <c r="J606" s="1"/>
      <c r="K606" s="1"/>
      <c r="L606" s="1"/>
    </row>
    <row r="607">
      <c r="B607" s="1"/>
      <c r="C607" s="1"/>
      <c r="D607" s="1"/>
      <c r="E607" s="1"/>
      <c r="F607" s="1"/>
      <c r="G607" s="1"/>
      <c r="H607" s="1"/>
      <c r="I607" s="1"/>
      <c r="J607" s="1"/>
      <c r="K607" s="1"/>
      <c r="L607" s="1"/>
    </row>
    <row r="608">
      <c r="B608" s="1"/>
      <c r="C608" s="1"/>
      <c r="D608" s="1"/>
      <c r="E608" s="1"/>
      <c r="F608" s="1"/>
      <c r="G608" s="1"/>
      <c r="H608" s="1"/>
      <c r="I608" s="1"/>
      <c r="J608" s="1"/>
      <c r="K608" s="1"/>
      <c r="L608" s="1"/>
    </row>
    <row r="609">
      <c r="B609" s="1"/>
      <c r="C609" s="1"/>
      <c r="D609" s="1"/>
      <c r="E609" s="1"/>
      <c r="F609" s="1"/>
      <c r="G609" s="1"/>
      <c r="H609" s="1"/>
      <c r="I609" s="1"/>
      <c r="J609" s="1"/>
      <c r="K609" s="1"/>
      <c r="L609" s="1"/>
    </row>
    <row r="610">
      <c r="B610" s="1"/>
      <c r="C610" s="1"/>
      <c r="D610" s="1"/>
      <c r="E610" s="1"/>
      <c r="F610" s="1"/>
      <c r="G610" s="1"/>
      <c r="H610" s="1"/>
      <c r="I610" s="1"/>
      <c r="J610" s="1"/>
      <c r="K610" s="1"/>
      <c r="L610" s="1"/>
    </row>
    <row r="611">
      <c r="B611" s="1"/>
      <c r="C611" s="1"/>
      <c r="D611" s="1"/>
      <c r="E611" s="1"/>
      <c r="F611" s="1"/>
      <c r="G611" s="1"/>
      <c r="H611" s="1"/>
      <c r="I611" s="1"/>
      <c r="J611" s="1"/>
      <c r="K611" s="1"/>
      <c r="L611" s="1"/>
    </row>
    <row r="612">
      <c r="B612" s="1"/>
      <c r="C612" s="1"/>
      <c r="D612" s="1"/>
      <c r="E612" s="1"/>
      <c r="F612" s="1"/>
      <c r="G612" s="1"/>
      <c r="H612" s="1"/>
      <c r="I612" s="1"/>
      <c r="J612" s="1"/>
      <c r="K612" s="1"/>
      <c r="L612" s="1"/>
    </row>
    <row r="613">
      <c r="B613" s="1"/>
      <c r="C613" s="1"/>
      <c r="D613" s="1"/>
      <c r="E613" s="1"/>
      <c r="F613" s="1"/>
      <c r="G613" s="1"/>
      <c r="H613" s="1"/>
      <c r="I613" s="1"/>
      <c r="J613" s="1"/>
      <c r="K613" s="1"/>
      <c r="L613" s="1"/>
    </row>
    <row r="614">
      <c r="B614" s="1"/>
      <c r="C614" s="1"/>
      <c r="D614" s="1"/>
      <c r="E614" s="1"/>
      <c r="F614" s="1"/>
      <c r="G614" s="1"/>
      <c r="H614" s="1"/>
      <c r="I614" s="1"/>
      <c r="J614" s="1"/>
      <c r="K614" s="1"/>
      <c r="L614" s="1"/>
    </row>
    <row r="615">
      <c r="B615" s="1"/>
      <c r="C615" s="1"/>
      <c r="D615" s="1"/>
      <c r="E615" s="1"/>
      <c r="F615" s="1"/>
      <c r="G615" s="1"/>
      <c r="H615" s="1"/>
      <c r="I615" s="1"/>
      <c r="J615" s="1"/>
      <c r="K615" s="1"/>
      <c r="L615" s="1"/>
    </row>
    <row r="616">
      <c r="B616" s="1"/>
      <c r="C616" s="1"/>
      <c r="D616" s="1"/>
      <c r="E616" s="1"/>
      <c r="F616" s="1"/>
      <c r="G616" s="1"/>
      <c r="H616" s="1"/>
      <c r="I616" s="1"/>
      <c r="J616" s="1"/>
      <c r="K616" s="1"/>
      <c r="L616" s="1"/>
    </row>
    <row r="617">
      <c r="B617" s="1"/>
      <c r="C617" s="1"/>
      <c r="D617" s="1"/>
      <c r="E617" s="1"/>
      <c r="F617" s="1"/>
      <c r="G617" s="1"/>
      <c r="H617" s="1"/>
      <c r="I617" s="1"/>
      <c r="J617" s="1"/>
      <c r="K617" s="1"/>
      <c r="L617" s="1"/>
    </row>
    <row r="618">
      <c r="B618" s="1"/>
      <c r="C618" s="1"/>
      <c r="D618" s="1"/>
      <c r="E618" s="1"/>
      <c r="F618" s="1"/>
      <c r="G618" s="1"/>
      <c r="H618" s="1"/>
      <c r="I618" s="1"/>
      <c r="J618" s="1"/>
      <c r="K618" s="1"/>
      <c r="L618" s="1"/>
    </row>
    <row r="619">
      <c r="B619" s="1"/>
      <c r="C619" s="1"/>
      <c r="D619" s="1"/>
      <c r="E619" s="1"/>
      <c r="F619" s="1"/>
      <c r="G619" s="1"/>
      <c r="H619" s="1"/>
      <c r="I619" s="1"/>
      <c r="J619" s="1"/>
      <c r="K619" s="1"/>
      <c r="L619" s="1"/>
    </row>
    <row r="620">
      <c r="B620" s="1"/>
      <c r="C620" s="1"/>
      <c r="D620" s="1"/>
      <c r="E620" s="1"/>
      <c r="F620" s="1"/>
      <c r="G620" s="1"/>
      <c r="H620" s="1"/>
      <c r="I620" s="1"/>
      <c r="J620" s="1"/>
      <c r="K620" s="1"/>
      <c r="L620" s="1"/>
    </row>
    <row r="621">
      <c r="B621" s="1"/>
      <c r="C621" s="1"/>
      <c r="D621" s="1"/>
      <c r="E621" s="1"/>
      <c r="F621" s="1"/>
      <c r="G621" s="1"/>
      <c r="H621" s="1"/>
      <c r="I621" s="1"/>
      <c r="J621" s="1"/>
      <c r="K621" s="1"/>
      <c r="L621" s="1"/>
    </row>
    <row r="622">
      <c r="B622" s="1"/>
      <c r="C622" s="1"/>
      <c r="D622" s="1"/>
      <c r="E622" s="1"/>
      <c r="F622" s="1"/>
      <c r="G622" s="1"/>
      <c r="H622" s="1"/>
      <c r="I622" s="1"/>
      <c r="J622" s="1"/>
      <c r="K622" s="1"/>
      <c r="L622" s="1"/>
    </row>
    <row r="623">
      <c r="B623" s="1"/>
      <c r="C623" s="1"/>
      <c r="D623" s="1"/>
      <c r="E623" s="1"/>
      <c r="F623" s="1"/>
      <c r="G623" s="1"/>
      <c r="H623" s="1"/>
      <c r="I623" s="1"/>
      <c r="J623" s="1"/>
      <c r="K623" s="1"/>
      <c r="L623" s="1"/>
    </row>
    <row r="624">
      <c r="B624" s="1"/>
      <c r="C624" s="1"/>
      <c r="D624" s="1"/>
      <c r="E624" s="1"/>
      <c r="F624" s="1"/>
      <c r="G624" s="1"/>
      <c r="H624" s="1"/>
      <c r="I624" s="1"/>
      <c r="J624" s="1"/>
      <c r="K624" s="1"/>
      <c r="L624" s="1"/>
    </row>
    <row r="625">
      <c r="B625" s="1"/>
      <c r="C625" s="1"/>
      <c r="D625" s="1"/>
      <c r="E625" s="1"/>
      <c r="F625" s="1"/>
      <c r="G625" s="1"/>
      <c r="H625" s="1"/>
      <c r="I625" s="1"/>
      <c r="J625" s="1"/>
      <c r="K625" s="1"/>
      <c r="L625" s="1"/>
    </row>
    <row r="626">
      <c r="B626" s="1"/>
      <c r="C626" s="1"/>
      <c r="D626" s="1"/>
      <c r="E626" s="1"/>
      <c r="F626" s="1"/>
      <c r="G626" s="1"/>
      <c r="H626" s="1"/>
      <c r="I626" s="1"/>
      <c r="J626" s="1"/>
      <c r="K626" s="1"/>
      <c r="L626" s="1"/>
    </row>
    <row r="627">
      <c r="B627" s="1"/>
      <c r="C627" s="1"/>
      <c r="D627" s="1"/>
      <c r="E627" s="1"/>
      <c r="F627" s="1"/>
      <c r="G627" s="1"/>
      <c r="H627" s="1"/>
      <c r="I627" s="1"/>
      <c r="J627" s="1"/>
      <c r="K627" s="1"/>
      <c r="L627" s="1"/>
    </row>
    <row r="628">
      <c r="B628" s="1"/>
      <c r="C628" s="1"/>
      <c r="D628" s="1"/>
      <c r="E628" s="1"/>
      <c r="F628" s="1"/>
      <c r="G628" s="1"/>
      <c r="H628" s="1"/>
      <c r="I628" s="1"/>
      <c r="J628" s="1"/>
      <c r="K628" s="1"/>
      <c r="L628" s="1"/>
    </row>
    <row r="629">
      <c r="B629" s="1"/>
      <c r="C629" s="1"/>
      <c r="D629" s="1"/>
      <c r="E629" s="1"/>
      <c r="F629" s="1"/>
      <c r="G629" s="1"/>
      <c r="H629" s="1"/>
      <c r="I629" s="1"/>
      <c r="J629" s="1"/>
      <c r="K629" s="1"/>
      <c r="L629" s="1"/>
    </row>
    <row r="630">
      <c r="B630" s="1"/>
      <c r="C630" s="1"/>
      <c r="D630" s="1"/>
      <c r="E630" s="1"/>
      <c r="F630" s="1"/>
      <c r="G630" s="1"/>
      <c r="H630" s="1"/>
      <c r="I630" s="1"/>
      <c r="J630" s="1"/>
      <c r="K630" s="1"/>
      <c r="L630" s="1"/>
    </row>
    <row r="631">
      <c r="B631" s="1"/>
      <c r="C631" s="1"/>
      <c r="D631" s="1"/>
      <c r="E631" s="1"/>
      <c r="F631" s="1"/>
      <c r="G631" s="1"/>
      <c r="H631" s="1"/>
      <c r="I631" s="1"/>
      <c r="J631" s="1"/>
      <c r="K631" s="1"/>
      <c r="L631" s="1"/>
    </row>
    <row r="632">
      <c r="B632" s="1"/>
      <c r="C632" s="1"/>
      <c r="D632" s="1"/>
      <c r="E632" s="1"/>
      <c r="F632" s="1"/>
      <c r="G632" s="1"/>
      <c r="H632" s="1"/>
      <c r="I632" s="1"/>
      <c r="J632" s="1"/>
      <c r="K632" s="1"/>
      <c r="L632" s="1"/>
    </row>
    <row r="633">
      <c r="B633" s="1"/>
      <c r="C633" s="1"/>
      <c r="D633" s="1"/>
      <c r="E633" s="1"/>
      <c r="F633" s="1"/>
      <c r="G633" s="1"/>
      <c r="H633" s="1"/>
      <c r="I633" s="1"/>
      <c r="J633" s="1"/>
      <c r="K633" s="1"/>
      <c r="L633" s="1"/>
    </row>
    <row r="634">
      <c r="B634" s="1"/>
      <c r="C634" s="1"/>
      <c r="D634" s="1"/>
      <c r="E634" s="1"/>
      <c r="F634" s="1"/>
      <c r="G634" s="1"/>
      <c r="H634" s="1"/>
      <c r="I634" s="1"/>
      <c r="J634" s="1"/>
      <c r="K634" s="1"/>
      <c r="L634" s="1"/>
    </row>
    <row r="635">
      <c r="B635" s="1"/>
      <c r="C635" s="1"/>
      <c r="D635" s="1"/>
      <c r="E635" s="1"/>
      <c r="F635" s="1"/>
      <c r="G635" s="1"/>
      <c r="H635" s="1"/>
      <c r="I635" s="1"/>
      <c r="J635" s="1"/>
      <c r="K635" s="1"/>
      <c r="L635" s="1"/>
    </row>
    <row r="636">
      <c r="B636" s="1"/>
      <c r="C636" s="1"/>
      <c r="D636" s="1"/>
      <c r="E636" s="1"/>
      <c r="F636" s="1"/>
      <c r="G636" s="1"/>
      <c r="H636" s="1"/>
      <c r="I636" s="1"/>
      <c r="J636" s="1"/>
      <c r="K636" s="1"/>
      <c r="L636" s="1"/>
    </row>
    <row r="637">
      <c r="B637" s="1"/>
      <c r="C637" s="1"/>
      <c r="D637" s="1"/>
      <c r="E637" s="1"/>
      <c r="F637" s="1"/>
      <c r="G637" s="1"/>
      <c r="H637" s="1"/>
      <c r="I637" s="1"/>
      <c r="J637" s="1"/>
      <c r="K637" s="1"/>
      <c r="L637" s="1"/>
    </row>
    <row r="638">
      <c r="B638" s="1"/>
      <c r="C638" s="1"/>
      <c r="D638" s="1"/>
      <c r="E638" s="1"/>
      <c r="F638" s="1"/>
      <c r="G638" s="1"/>
      <c r="H638" s="1"/>
      <c r="I638" s="1"/>
      <c r="J638" s="1"/>
      <c r="K638" s="1"/>
      <c r="L638" s="1"/>
    </row>
    <row r="639">
      <c r="B639" s="1"/>
      <c r="C639" s="1"/>
      <c r="D639" s="1"/>
      <c r="E639" s="1"/>
      <c r="F639" s="1"/>
      <c r="G639" s="1"/>
      <c r="H639" s="1"/>
      <c r="I639" s="1"/>
      <c r="J639" s="1"/>
      <c r="K639" s="1"/>
      <c r="L639" s="1"/>
    </row>
    <row r="640">
      <c r="B640" s="1"/>
      <c r="C640" s="1"/>
      <c r="D640" s="1"/>
      <c r="E640" s="1"/>
      <c r="F640" s="1"/>
      <c r="G640" s="1"/>
      <c r="H640" s="1"/>
      <c r="I640" s="1"/>
      <c r="J640" s="1"/>
      <c r="K640" s="1"/>
      <c r="L640" s="1"/>
    </row>
    <row r="641">
      <c r="B641" s="1"/>
      <c r="C641" s="1"/>
      <c r="D641" s="1"/>
      <c r="E641" s="1"/>
      <c r="F641" s="1"/>
      <c r="G641" s="1"/>
      <c r="H641" s="1"/>
      <c r="I641" s="1"/>
      <c r="J641" s="1"/>
      <c r="K641" s="1"/>
      <c r="L641" s="1"/>
    </row>
    <row r="642">
      <c r="B642" s="1"/>
      <c r="C642" s="1"/>
      <c r="D642" s="1"/>
      <c r="E642" s="1"/>
      <c r="F642" s="1"/>
      <c r="G642" s="1"/>
      <c r="H642" s="1"/>
      <c r="I642" s="1"/>
      <c r="J642" s="1"/>
      <c r="K642" s="1"/>
      <c r="L642" s="1"/>
    </row>
    <row r="643">
      <c r="B643" s="1"/>
      <c r="C643" s="1"/>
      <c r="D643" s="1"/>
      <c r="E643" s="1"/>
      <c r="F643" s="1"/>
      <c r="G643" s="1"/>
      <c r="H643" s="1"/>
      <c r="I643" s="1"/>
      <c r="J643" s="1"/>
      <c r="K643" s="1"/>
      <c r="L643" s="1"/>
    </row>
    <row r="644">
      <c r="B644" s="1"/>
      <c r="C644" s="1"/>
      <c r="D644" s="1"/>
      <c r="E644" s="1"/>
      <c r="F644" s="1"/>
      <c r="G644" s="1"/>
      <c r="H644" s="1"/>
      <c r="I644" s="1"/>
      <c r="J644" s="1"/>
      <c r="K644" s="1"/>
      <c r="L644" s="1"/>
    </row>
    <row r="645">
      <c r="B645" s="1"/>
      <c r="C645" s="1"/>
      <c r="D645" s="1"/>
      <c r="E645" s="1"/>
      <c r="F645" s="1"/>
      <c r="G645" s="1"/>
      <c r="H645" s="1"/>
      <c r="I645" s="1"/>
      <c r="J645" s="1"/>
      <c r="K645" s="1"/>
      <c r="L645" s="1"/>
    </row>
    <row r="646">
      <c r="B646" s="1"/>
      <c r="C646" s="1"/>
      <c r="D646" s="1"/>
      <c r="E646" s="1"/>
      <c r="F646" s="1"/>
      <c r="G646" s="1"/>
      <c r="H646" s="1"/>
      <c r="I646" s="1"/>
      <c r="J646" s="1"/>
      <c r="K646" s="1"/>
      <c r="L646" s="1"/>
    </row>
    <row r="647">
      <c r="B647" s="1"/>
      <c r="C647" s="1"/>
      <c r="D647" s="1"/>
      <c r="E647" s="1"/>
      <c r="F647" s="1"/>
      <c r="G647" s="1"/>
      <c r="H647" s="1"/>
      <c r="I647" s="1"/>
      <c r="J647" s="1"/>
      <c r="K647" s="1"/>
      <c r="L647" s="1"/>
    </row>
    <row r="648">
      <c r="B648" s="1"/>
      <c r="C648" s="1"/>
      <c r="D648" s="1"/>
      <c r="E648" s="1"/>
      <c r="F648" s="1"/>
      <c r="G648" s="1"/>
      <c r="H648" s="1"/>
      <c r="I648" s="1"/>
      <c r="J648" s="1"/>
      <c r="K648" s="1"/>
      <c r="L648" s="1"/>
    </row>
    <row r="649">
      <c r="B649" s="1"/>
      <c r="C649" s="1"/>
      <c r="D649" s="1"/>
      <c r="E649" s="1"/>
      <c r="F649" s="1"/>
      <c r="G649" s="1"/>
      <c r="H649" s="1"/>
      <c r="I649" s="1"/>
      <c r="J649" s="1"/>
      <c r="K649" s="1"/>
      <c r="L649" s="1"/>
    </row>
    <row r="650">
      <c r="B650" s="1"/>
      <c r="C650" s="1"/>
      <c r="D650" s="1"/>
      <c r="E650" s="1"/>
      <c r="F650" s="1"/>
      <c r="G650" s="1"/>
      <c r="H650" s="1"/>
      <c r="I650" s="1"/>
      <c r="J650" s="1"/>
      <c r="K650" s="1"/>
      <c r="L650" s="1"/>
    </row>
    <row r="651">
      <c r="B651" s="1"/>
      <c r="C651" s="1"/>
      <c r="D651" s="1"/>
      <c r="E651" s="1"/>
      <c r="F651" s="1"/>
      <c r="G651" s="1"/>
      <c r="H651" s="1"/>
      <c r="I651" s="1"/>
      <c r="J651" s="1"/>
      <c r="K651" s="1"/>
      <c r="L651" s="1"/>
    </row>
    <row r="652">
      <c r="B652" s="1"/>
      <c r="C652" s="1"/>
      <c r="D652" s="1"/>
      <c r="E652" s="1"/>
      <c r="F652" s="1"/>
      <c r="G652" s="1"/>
      <c r="H652" s="1"/>
      <c r="I652" s="1"/>
      <c r="J652" s="1"/>
      <c r="K652" s="1"/>
      <c r="L652" s="1"/>
    </row>
    <row r="653">
      <c r="B653" s="1"/>
      <c r="C653" s="1"/>
      <c r="D653" s="1"/>
      <c r="E653" s="1"/>
      <c r="F653" s="1"/>
      <c r="G653" s="1"/>
      <c r="H653" s="1"/>
      <c r="I653" s="1"/>
      <c r="J653" s="1"/>
      <c r="K653" s="1"/>
      <c r="L653" s="1"/>
    </row>
    <row r="654">
      <c r="B654" s="1"/>
      <c r="C654" s="1"/>
      <c r="D654" s="1"/>
      <c r="E654" s="1"/>
      <c r="F654" s="1"/>
      <c r="G654" s="1"/>
      <c r="H654" s="1"/>
      <c r="I654" s="1"/>
      <c r="J654" s="1"/>
      <c r="K654" s="1"/>
      <c r="L654" s="1"/>
    </row>
    <row r="655">
      <c r="B655" s="1"/>
      <c r="C655" s="1"/>
      <c r="D655" s="1"/>
      <c r="E655" s="1"/>
      <c r="F655" s="1"/>
      <c r="G655" s="1"/>
      <c r="H655" s="1"/>
      <c r="I655" s="1"/>
      <c r="J655" s="1"/>
      <c r="K655" s="1"/>
      <c r="L655" s="1"/>
    </row>
    <row r="656">
      <c r="B656" s="1"/>
      <c r="C656" s="1"/>
      <c r="D656" s="1"/>
      <c r="E656" s="1"/>
      <c r="F656" s="1"/>
      <c r="G656" s="1"/>
      <c r="H656" s="1"/>
      <c r="I656" s="1"/>
      <c r="J656" s="1"/>
      <c r="K656" s="1"/>
      <c r="L656" s="1"/>
    </row>
    <row r="657">
      <c r="B657" s="1"/>
      <c r="C657" s="1"/>
      <c r="D657" s="1"/>
      <c r="E657" s="1"/>
      <c r="F657" s="1"/>
      <c r="G657" s="1"/>
      <c r="H657" s="1"/>
      <c r="I657" s="1"/>
      <c r="J657" s="1"/>
      <c r="K657" s="1"/>
      <c r="L657" s="1"/>
    </row>
    <row r="658">
      <c r="B658" s="1"/>
      <c r="C658" s="1"/>
      <c r="D658" s="1"/>
      <c r="E658" s="1"/>
      <c r="F658" s="1"/>
      <c r="G658" s="1"/>
      <c r="H658" s="1"/>
      <c r="I658" s="1"/>
      <c r="J658" s="1"/>
      <c r="K658" s="1"/>
      <c r="L658" s="1"/>
    </row>
    <row r="659">
      <c r="B659" s="1"/>
      <c r="C659" s="1"/>
      <c r="D659" s="1"/>
      <c r="E659" s="1"/>
      <c r="F659" s="1"/>
      <c r="G659" s="1"/>
      <c r="H659" s="1"/>
      <c r="I659" s="1"/>
      <c r="J659" s="1"/>
      <c r="K659" s="1"/>
      <c r="L659" s="1"/>
    </row>
    <row r="660">
      <c r="B660" s="1"/>
      <c r="C660" s="1"/>
      <c r="D660" s="1"/>
      <c r="E660" s="1"/>
      <c r="F660" s="1"/>
      <c r="G660" s="1"/>
      <c r="H660" s="1"/>
      <c r="I660" s="1"/>
      <c r="J660" s="1"/>
      <c r="K660" s="1"/>
      <c r="L660" s="1"/>
    </row>
    <row r="661">
      <c r="B661" s="1"/>
      <c r="C661" s="1"/>
      <c r="D661" s="1"/>
      <c r="E661" s="1"/>
      <c r="F661" s="1"/>
      <c r="G661" s="1"/>
      <c r="H661" s="1"/>
      <c r="I661" s="1"/>
      <c r="J661" s="1"/>
      <c r="K661" s="1"/>
      <c r="L661" s="1"/>
    </row>
    <row r="662">
      <c r="B662" s="1"/>
      <c r="C662" s="1"/>
      <c r="D662" s="1"/>
      <c r="E662" s="1"/>
      <c r="F662" s="1"/>
      <c r="G662" s="1"/>
      <c r="H662" s="1"/>
      <c r="I662" s="1"/>
      <c r="J662" s="1"/>
      <c r="K662" s="1"/>
      <c r="L662" s="1"/>
    </row>
    <row r="663">
      <c r="B663" s="1"/>
      <c r="C663" s="1"/>
      <c r="D663" s="1"/>
      <c r="E663" s="1"/>
      <c r="F663" s="1"/>
      <c r="G663" s="1"/>
      <c r="H663" s="1"/>
      <c r="I663" s="1"/>
      <c r="J663" s="1"/>
      <c r="K663" s="1"/>
      <c r="L663" s="1"/>
    </row>
    <row r="664">
      <c r="B664" s="1"/>
      <c r="C664" s="1"/>
      <c r="D664" s="1"/>
      <c r="E664" s="1"/>
      <c r="F664" s="1"/>
      <c r="G664" s="1"/>
      <c r="H664" s="1"/>
      <c r="I664" s="1"/>
      <c r="J664" s="1"/>
      <c r="K664" s="1"/>
      <c r="L664" s="1"/>
    </row>
    <row r="665">
      <c r="B665" s="1"/>
      <c r="C665" s="1"/>
      <c r="D665" s="1"/>
      <c r="E665" s="1"/>
      <c r="F665" s="1"/>
      <c r="G665" s="1"/>
      <c r="H665" s="1"/>
      <c r="I665" s="1"/>
      <c r="J665" s="1"/>
      <c r="K665" s="1"/>
      <c r="L665" s="1"/>
    </row>
    <row r="666">
      <c r="B666" s="1"/>
      <c r="C666" s="1"/>
      <c r="D666" s="1"/>
      <c r="E666" s="1"/>
      <c r="F666" s="1"/>
      <c r="G666" s="1"/>
      <c r="H666" s="1"/>
      <c r="I666" s="1"/>
      <c r="J666" s="1"/>
      <c r="K666" s="1"/>
      <c r="L666" s="1"/>
    </row>
    <row r="667">
      <c r="B667" s="1"/>
      <c r="C667" s="1"/>
      <c r="D667" s="1"/>
      <c r="E667" s="1"/>
      <c r="F667" s="1"/>
      <c r="G667" s="1"/>
      <c r="H667" s="1"/>
      <c r="I667" s="1"/>
      <c r="J667" s="1"/>
      <c r="K667" s="1"/>
      <c r="L667" s="1"/>
    </row>
    <row r="668">
      <c r="B668" s="1"/>
      <c r="C668" s="1"/>
      <c r="D668" s="1"/>
      <c r="E668" s="1"/>
      <c r="F668" s="1"/>
      <c r="G668" s="1"/>
      <c r="H668" s="1"/>
      <c r="I668" s="1"/>
      <c r="J668" s="1"/>
      <c r="K668" s="1"/>
      <c r="L668" s="1"/>
    </row>
    <row r="669">
      <c r="B669" s="1"/>
      <c r="C669" s="1"/>
      <c r="D669" s="1"/>
      <c r="E669" s="1"/>
      <c r="F669" s="1"/>
      <c r="G669" s="1"/>
      <c r="H669" s="1"/>
      <c r="I669" s="1"/>
      <c r="J669" s="1"/>
      <c r="K669" s="1"/>
      <c r="L669" s="1"/>
    </row>
    <row r="670">
      <c r="B670" s="1"/>
      <c r="C670" s="1"/>
      <c r="D670" s="1"/>
      <c r="E670" s="1"/>
      <c r="F670" s="1"/>
      <c r="G670" s="1"/>
      <c r="H670" s="1"/>
      <c r="I670" s="1"/>
      <c r="J670" s="1"/>
      <c r="K670" s="1"/>
      <c r="L670" s="1"/>
    </row>
    <row r="671">
      <c r="B671" s="1"/>
      <c r="C671" s="1"/>
      <c r="D671" s="1"/>
      <c r="E671" s="1"/>
      <c r="F671" s="1"/>
      <c r="G671" s="1"/>
      <c r="H671" s="1"/>
      <c r="I671" s="1"/>
      <c r="J671" s="1"/>
      <c r="K671" s="1"/>
      <c r="L671" s="1"/>
    </row>
    <row r="672">
      <c r="B672" s="1"/>
      <c r="C672" s="1"/>
      <c r="D672" s="1"/>
      <c r="E672" s="1"/>
      <c r="F672" s="1"/>
      <c r="G672" s="1"/>
      <c r="H672" s="1"/>
      <c r="I672" s="1"/>
      <c r="J672" s="1"/>
      <c r="K672" s="1"/>
      <c r="L672" s="1"/>
    </row>
    <row r="673">
      <c r="B673" s="1"/>
      <c r="C673" s="1"/>
      <c r="D673" s="1"/>
      <c r="E673" s="1"/>
      <c r="F673" s="1"/>
      <c r="G673" s="1"/>
      <c r="H673" s="1"/>
      <c r="I673" s="1"/>
      <c r="J673" s="1"/>
      <c r="K673" s="1"/>
      <c r="L673" s="1"/>
    </row>
    <row r="674">
      <c r="B674" s="1"/>
      <c r="C674" s="1"/>
      <c r="D674" s="1"/>
      <c r="E674" s="1"/>
      <c r="F674" s="1"/>
      <c r="G674" s="1"/>
      <c r="H674" s="1"/>
      <c r="I674" s="1"/>
      <c r="J674" s="1"/>
      <c r="K674" s="1"/>
      <c r="L674" s="1"/>
    </row>
    <row r="675">
      <c r="B675" s="1"/>
      <c r="C675" s="1"/>
      <c r="D675" s="1"/>
      <c r="E675" s="1"/>
      <c r="F675" s="1"/>
      <c r="G675" s="1"/>
      <c r="H675" s="1"/>
      <c r="I675" s="1"/>
      <c r="J675" s="1"/>
      <c r="K675" s="1"/>
      <c r="L675" s="1"/>
    </row>
    <row r="676">
      <c r="B676" s="1"/>
      <c r="C676" s="1"/>
      <c r="D676" s="1"/>
      <c r="E676" s="1"/>
      <c r="F676" s="1"/>
      <c r="G676" s="1"/>
      <c r="H676" s="1"/>
      <c r="I676" s="1"/>
      <c r="J676" s="1"/>
      <c r="K676" s="1"/>
      <c r="L676" s="1"/>
    </row>
    <row r="677">
      <c r="B677" s="1"/>
      <c r="C677" s="1"/>
      <c r="D677" s="1"/>
      <c r="E677" s="1"/>
      <c r="F677" s="1"/>
      <c r="G677" s="1"/>
      <c r="H677" s="1"/>
      <c r="I677" s="1"/>
      <c r="J677" s="1"/>
      <c r="K677" s="1"/>
      <c r="L677" s="1"/>
    </row>
    <row r="678">
      <c r="B678" s="1"/>
      <c r="C678" s="1"/>
      <c r="D678" s="1"/>
      <c r="E678" s="1"/>
      <c r="F678" s="1"/>
      <c r="G678" s="1"/>
      <c r="H678" s="1"/>
      <c r="I678" s="1"/>
      <c r="J678" s="1"/>
      <c r="K678" s="1"/>
      <c r="L678" s="1"/>
    </row>
    <row r="679">
      <c r="B679" s="1"/>
      <c r="C679" s="1"/>
      <c r="D679" s="1"/>
      <c r="E679" s="1"/>
      <c r="F679" s="1"/>
      <c r="G679" s="1"/>
      <c r="H679" s="1"/>
      <c r="I679" s="1"/>
      <c r="J679" s="1"/>
      <c r="K679" s="1"/>
      <c r="L679" s="1"/>
    </row>
    <row r="680">
      <c r="B680" s="1"/>
      <c r="C680" s="1"/>
      <c r="D680" s="1"/>
      <c r="E680" s="1"/>
      <c r="F680" s="1"/>
      <c r="G680" s="1"/>
      <c r="H680" s="1"/>
      <c r="I680" s="1"/>
      <c r="J680" s="1"/>
      <c r="K680" s="1"/>
      <c r="L680" s="1"/>
    </row>
    <row r="681">
      <c r="B681" s="1"/>
      <c r="C681" s="1"/>
      <c r="D681" s="1"/>
      <c r="E681" s="1"/>
      <c r="F681" s="1"/>
      <c r="G681" s="1"/>
      <c r="H681" s="1"/>
      <c r="I681" s="1"/>
      <c r="J681" s="1"/>
      <c r="K681" s="1"/>
      <c r="L681" s="1"/>
    </row>
    <row r="682">
      <c r="B682" s="1"/>
      <c r="C682" s="1"/>
      <c r="D682" s="1"/>
      <c r="E682" s="1"/>
      <c r="F682" s="1"/>
      <c r="G682" s="1"/>
      <c r="H682" s="1"/>
      <c r="I682" s="1"/>
      <c r="J682" s="1"/>
      <c r="K682" s="1"/>
      <c r="L682" s="1"/>
    </row>
    <row r="683">
      <c r="B683" s="1"/>
      <c r="C683" s="1"/>
      <c r="D683" s="1"/>
      <c r="E683" s="1"/>
      <c r="F683" s="1"/>
      <c r="G683" s="1"/>
      <c r="H683" s="1"/>
      <c r="I683" s="1"/>
      <c r="J683" s="1"/>
      <c r="K683" s="1"/>
      <c r="L683" s="1"/>
    </row>
    <row r="684">
      <c r="B684" s="1"/>
      <c r="C684" s="1"/>
      <c r="D684" s="1"/>
      <c r="E684" s="1"/>
      <c r="F684" s="1"/>
      <c r="G684" s="1"/>
      <c r="H684" s="1"/>
      <c r="I684" s="1"/>
      <c r="J684" s="1"/>
      <c r="K684" s="1"/>
      <c r="L684" s="1"/>
    </row>
    <row r="685">
      <c r="B685" s="1"/>
      <c r="C685" s="1"/>
      <c r="D685" s="1"/>
      <c r="E685" s="1"/>
      <c r="F685" s="1"/>
      <c r="G685" s="1"/>
      <c r="H685" s="1"/>
      <c r="I685" s="1"/>
      <c r="J685" s="1"/>
      <c r="K685" s="1"/>
      <c r="L685" s="1"/>
    </row>
    <row r="686">
      <c r="B686" s="1"/>
      <c r="C686" s="1"/>
      <c r="D686" s="1"/>
      <c r="E686" s="1"/>
      <c r="F686" s="1"/>
      <c r="G686" s="1"/>
      <c r="H686" s="1"/>
      <c r="I686" s="1"/>
      <c r="J686" s="1"/>
      <c r="K686" s="1"/>
      <c r="L686" s="1"/>
    </row>
    <row r="687">
      <c r="B687" s="1"/>
      <c r="C687" s="1"/>
      <c r="D687" s="1"/>
      <c r="E687" s="1"/>
      <c r="F687" s="1"/>
      <c r="G687" s="1"/>
      <c r="H687" s="1"/>
      <c r="I687" s="1"/>
      <c r="J687" s="1"/>
      <c r="K687" s="1"/>
      <c r="L687" s="1"/>
    </row>
    <row r="688">
      <c r="B688" s="1"/>
      <c r="C688" s="1"/>
      <c r="D688" s="1"/>
      <c r="E688" s="1"/>
      <c r="F688" s="1"/>
      <c r="G688" s="1"/>
      <c r="H688" s="1"/>
      <c r="I688" s="1"/>
      <c r="J688" s="1"/>
      <c r="K688" s="1"/>
      <c r="L688" s="1"/>
    </row>
    <row r="689">
      <c r="B689" s="1"/>
      <c r="C689" s="1"/>
      <c r="D689" s="1"/>
      <c r="E689" s="1"/>
      <c r="F689" s="1"/>
      <c r="G689" s="1"/>
      <c r="H689" s="1"/>
      <c r="I689" s="1"/>
      <c r="J689" s="1"/>
      <c r="K689" s="1"/>
      <c r="L689" s="1"/>
    </row>
    <row r="690">
      <c r="B690" s="1"/>
      <c r="C690" s="1"/>
      <c r="D690" s="1"/>
      <c r="E690" s="1"/>
      <c r="F690" s="1"/>
      <c r="G690" s="1"/>
      <c r="H690" s="1"/>
      <c r="I690" s="1"/>
      <c r="J690" s="1"/>
      <c r="K690" s="1"/>
      <c r="L690" s="1"/>
    </row>
    <row r="691">
      <c r="B691" s="1"/>
      <c r="C691" s="1"/>
      <c r="D691" s="1"/>
      <c r="E691" s="1"/>
      <c r="F691" s="1"/>
      <c r="G691" s="1"/>
      <c r="H691" s="1"/>
      <c r="I691" s="1"/>
      <c r="J691" s="1"/>
      <c r="K691" s="1"/>
      <c r="L691" s="1"/>
    </row>
    <row r="692">
      <c r="B692" s="1"/>
      <c r="C692" s="1"/>
      <c r="D692" s="1"/>
      <c r="E692" s="1"/>
      <c r="F692" s="1"/>
      <c r="G692" s="1"/>
      <c r="H692" s="1"/>
      <c r="I692" s="1"/>
      <c r="J692" s="1"/>
      <c r="K692" s="1"/>
      <c r="L692" s="1"/>
    </row>
    <row r="693">
      <c r="B693" s="1"/>
      <c r="C693" s="1"/>
      <c r="D693" s="1"/>
      <c r="E693" s="1"/>
      <c r="F693" s="1"/>
      <c r="G693" s="1"/>
      <c r="H693" s="1"/>
      <c r="I693" s="1"/>
      <c r="J693" s="1"/>
      <c r="K693" s="1"/>
      <c r="L693" s="1"/>
    </row>
    <row r="694">
      <c r="B694" s="1"/>
      <c r="C694" s="1"/>
      <c r="D694" s="1"/>
      <c r="E694" s="1"/>
      <c r="F694" s="1"/>
      <c r="G694" s="1"/>
      <c r="H694" s="1"/>
      <c r="I694" s="1"/>
      <c r="J694" s="1"/>
      <c r="K694" s="1"/>
      <c r="L694" s="1"/>
    </row>
    <row r="695">
      <c r="B695" s="1"/>
      <c r="C695" s="1"/>
      <c r="D695" s="1"/>
      <c r="E695" s="1"/>
      <c r="F695" s="1"/>
      <c r="G695" s="1"/>
      <c r="H695" s="1"/>
      <c r="I695" s="1"/>
      <c r="J695" s="1"/>
      <c r="K695" s="1"/>
      <c r="L695" s="1"/>
    </row>
    <row r="696">
      <c r="B696" s="1"/>
      <c r="C696" s="1"/>
      <c r="D696" s="1"/>
      <c r="E696" s="1"/>
      <c r="F696" s="1"/>
      <c r="G696" s="1"/>
      <c r="H696" s="1"/>
      <c r="I696" s="1"/>
      <c r="J696" s="1"/>
      <c r="K696" s="1"/>
      <c r="L696" s="1"/>
    </row>
    <row r="697">
      <c r="B697" s="1"/>
      <c r="C697" s="1"/>
      <c r="D697" s="1"/>
      <c r="E697" s="1"/>
      <c r="F697" s="1"/>
      <c r="G697" s="1"/>
      <c r="H697" s="1"/>
      <c r="I697" s="1"/>
      <c r="J697" s="1"/>
      <c r="K697" s="1"/>
      <c r="L697" s="1"/>
    </row>
    <row r="698">
      <c r="B698" s="1"/>
      <c r="C698" s="1"/>
      <c r="D698" s="1"/>
      <c r="E698" s="1"/>
      <c r="F698" s="1"/>
      <c r="G698" s="1"/>
      <c r="H698" s="1"/>
      <c r="I698" s="1"/>
      <c r="J698" s="1"/>
      <c r="K698" s="1"/>
      <c r="L698" s="1"/>
    </row>
    <row r="699">
      <c r="B699" s="1"/>
      <c r="C699" s="1"/>
      <c r="D699" s="1"/>
      <c r="E699" s="1"/>
      <c r="F699" s="1"/>
      <c r="G699" s="1"/>
      <c r="H699" s="1"/>
      <c r="I699" s="1"/>
      <c r="J699" s="1"/>
      <c r="K699" s="1"/>
      <c r="L699" s="1"/>
    </row>
    <row r="700">
      <c r="B700" s="1"/>
      <c r="C700" s="1"/>
      <c r="D700" s="1"/>
      <c r="E700" s="1"/>
      <c r="F700" s="1"/>
      <c r="G700" s="1"/>
      <c r="H700" s="1"/>
      <c r="I700" s="1"/>
      <c r="J700" s="1"/>
      <c r="K700" s="1"/>
      <c r="L700" s="1"/>
    </row>
    <row r="701">
      <c r="B701" s="1"/>
      <c r="C701" s="1"/>
      <c r="D701" s="1"/>
      <c r="E701" s="1"/>
      <c r="F701" s="1"/>
      <c r="G701" s="1"/>
      <c r="H701" s="1"/>
      <c r="I701" s="1"/>
      <c r="J701" s="1"/>
      <c r="K701" s="1"/>
      <c r="L701" s="1"/>
    </row>
    <row r="702">
      <c r="B702" s="1"/>
      <c r="C702" s="1"/>
      <c r="D702" s="1"/>
      <c r="E702" s="1"/>
      <c r="F702" s="1"/>
      <c r="G702" s="1"/>
      <c r="H702" s="1"/>
      <c r="I702" s="1"/>
      <c r="J702" s="1"/>
      <c r="K702" s="1"/>
      <c r="L702" s="1"/>
    </row>
    <row r="703">
      <c r="B703" s="1"/>
      <c r="C703" s="1"/>
      <c r="D703" s="1"/>
      <c r="E703" s="1"/>
      <c r="F703" s="1"/>
      <c r="G703" s="1"/>
      <c r="H703" s="1"/>
      <c r="I703" s="1"/>
      <c r="J703" s="1"/>
      <c r="K703" s="1"/>
      <c r="L703" s="1"/>
    </row>
    <row r="704">
      <c r="B704" s="1"/>
      <c r="C704" s="1"/>
      <c r="D704" s="1"/>
      <c r="E704" s="1"/>
      <c r="F704" s="1"/>
      <c r="G704" s="1"/>
      <c r="H704" s="1"/>
      <c r="I704" s="1"/>
      <c r="J704" s="1"/>
      <c r="K704" s="1"/>
      <c r="L704" s="1"/>
    </row>
    <row r="705">
      <c r="B705" s="1"/>
      <c r="C705" s="1"/>
      <c r="D705" s="1"/>
      <c r="E705" s="1"/>
      <c r="F705" s="1"/>
      <c r="G705" s="1"/>
      <c r="H705" s="1"/>
      <c r="I705" s="1"/>
      <c r="J705" s="1"/>
      <c r="K705" s="1"/>
      <c r="L705" s="1"/>
    </row>
    <row r="706">
      <c r="B706" s="1"/>
      <c r="C706" s="1"/>
      <c r="D706" s="1"/>
      <c r="E706" s="1"/>
      <c r="F706" s="1"/>
      <c r="G706" s="1"/>
      <c r="H706" s="1"/>
      <c r="I706" s="1"/>
      <c r="J706" s="1"/>
      <c r="K706" s="1"/>
      <c r="L706" s="1"/>
    </row>
    <row r="707">
      <c r="B707" s="1"/>
      <c r="C707" s="1"/>
      <c r="D707" s="1"/>
      <c r="E707" s="1"/>
      <c r="F707" s="1"/>
      <c r="G707" s="1"/>
      <c r="H707" s="1"/>
      <c r="I707" s="1"/>
      <c r="J707" s="1"/>
      <c r="K707" s="1"/>
      <c r="L707" s="1"/>
    </row>
    <row r="708">
      <c r="B708" s="1"/>
      <c r="C708" s="1"/>
      <c r="D708" s="1"/>
      <c r="E708" s="1"/>
      <c r="F708" s="1"/>
      <c r="G708" s="1"/>
      <c r="H708" s="1"/>
      <c r="I708" s="1"/>
      <c r="J708" s="1"/>
      <c r="K708" s="1"/>
      <c r="L708" s="1"/>
    </row>
    <row r="709">
      <c r="B709" s="1"/>
      <c r="C709" s="1"/>
      <c r="D709" s="1"/>
      <c r="E709" s="1"/>
      <c r="F709" s="1"/>
      <c r="G709" s="1"/>
      <c r="H709" s="1"/>
      <c r="I709" s="1"/>
      <c r="J709" s="1"/>
      <c r="K709" s="1"/>
      <c r="L709" s="1"/>
    </row>
    <row r="710">
      <c r="B710" s="1"/>
      <c r="C710" s="1"/>
      <c r="D710" s="1"/>
      <c r="E710" s="1"/>
      <c r="F710" s="1"/>
      <c r="G710" s="1"/>
      <c r="H710" s="1"/>
      <c r="I710" s="1"/>
      <c r="J710" s="1"/>
      <c r="K710" s="1"/>
      <c r="L710" s="1"/>
    </row>
    <row r="711">
      <c r="B711" s="1"/>
      <c r="C711" s="1"/>
      <c r="D711" s="1"/>
      <c r="E711" s="1"/>
      <c r="F711" s="1"/>
      <c r="G711" s="1"/>
      <c r="H711" s="1"/>
      <c r="I711" s="1"/>
      <c r="J711" s="1"/>
      <c r="K711" s="1"/>
      <c r="L711" s="1"/>
    </row>
    <row r="712">
      <c r="B712" s="1"/>
      <c r="C712" s="1"/>
      <c r="D712" s="1"/>
      <c r="E712" s="1"/>
      <c r="F712" s="1"/>
      <c r="G712" s="1"/>
      <c r="H712" s="1"/>
      <c r="I712" s="1"/>
      <c r="J712" s="1"/>
      <c r="K712" s="1"/>
      <c r="L712" s="1"/>
    </row>
    <row r="713">
      <c r="B713" s="1"/>
      <c r="C713" s="1"/>
      <c r="D713" s="1"/>
      <c r="E713" s="1"/>
      <c r="F713" s="1"/>
      <c r="G713" s="1"/>
      <c r="H713" s="1"/>
      <c r="I713" s="1"/>
      <c r="J713" s="1"/>
      <c r="K713" s="1"/>
      <c r="L713" s="1"/>
    </row>
    <row r="714">
      <c r="B714" s="1"/>
      <c r="C714" s="1"/>
      <c r="D714" s="1"/>
      <c r="E714" s="1"/>
      <c r="F714" s="1"/>
      <c r="G714" s="1"/>
      <c r="H714" s="1"/>
      <c r="I714" s="1"/>
      <c r="J714" s="1"/>
      <c r="K714" s="1"/>
      <c r="L714" s="1"/>
    </row>
    <row r="715">
      <c r="B715" s="1"/>
      <c r="C715" s="1"/>
      <c r="D715" s="1"/>
      <c r="E715" s="1"/>
      <c r="F715" s="1"/>
      <c r="G715" s="1"/>
      <c r="H715" s="1"/>
      <c r="I715" s="1"/>
      <c r="J715" s="1"/>
      <c r="K715" s="1"/>
      <c r="L715" s="1"/>
    </row>
    <row r="716">
      <c r="B716" s="1"/>
      <c r="C716" s="1"/>
      <c r="D716" s="1"/>
      <c r="E716" s="1"/>
      <c r="F716" s="1"/>
      <c r="G716" s="1"/>
      <c r="H716" s="1"/>
      <c r="I716" s="1"/>
      <c r="J716" s="1"/>
      <c r="K716" s="1"/>
      <c r="L716" s="1"/>
    </row>
    <row r="717">
      <c r="B717" s="1"/>
      <c r="C717" s="1"/>
      <c r="D717" s="1"/>
      <c r="E717" s="1"/>
      <c r="F717" s="1"/>
      <c r="G717" s="1"/>
      <c r="H717" s="1"/>
      <c r="I717" s="1"/>
      <c r="J717" s="1"/>
      <c r="K717" s="1"/>
      <c r="L717" s="1"/>
    </row>
    <row r="718">
      <c r="B718" s="1"/>
      <c r="C718" s="1"/>
      <c r="D718" s="1"/>
      <c r="E718" s="1"/>
      <c r="F718" s="1"/>
      <c r="G718" s="1"/>
      <c r="H718" s="1"/>
      <c r="I718" s="1"/>
      <c r="J718" s="1"/>
      <c r="K718" s="1"/>
      <c r="L718" s="1"/>
    </row>
    <row r="719">
      <c r="B719" s="1"/>
      <c r="C719" s="1"/>
      <c r="D719" s="1"/>
      <c r="E719" s="1"/>
      <c r="F719" s="1"/>
      <c r="G719" s="1"/>
      <c r="H719" s="1"/>
      <c r="I719" s="1"/>
      <c r="J719" s="1"/>
      <c r="K719" s="1"/>
      <c r="L719" s="1"/>
    </row>
    <row r="720">
      <c r="B720" s="1"/>
      <c r="C720" s="1"/>
      <c r="D720" s="1"/>
      <c r="E720" s="1"/>
      <c r="F720" s="1"/>
      <c r="G720" s="1"/>
      <c r="H720" s="1"/>
      <c r="I720" s="1"/>
      <c r="J720" s="1"/>
      <c r="K720" s="1"/>
      <c r="L720" s="1"/>
    </row>
    <row r="721">
      <c r="B721" s="1"/>
      <c r="C721" s="1"/>
      <c r="D721" s="1"/>
      <c r="E721" s="1"/>
      <c r="F721" s="1"/>
      <c r="G721" s="1"/>
      <c r="H721" s="1"/>
      <c r="I721" s="1"/>
      <c r="J721" s="1"/>
      <c r="K721" s="1"/>
      <c r="L721" s="1"/>
    </row>
    <row r="722">
      <c r="B722" s="1"/>
      <c r="C722" s="1"/>
      <c r="D722" s="1"/>
      <c r="E722" s="1"/>
      <c r="F722" s="1"/>
      <c r="G722" s="1"/>
      <c r="H722" s="1"/>
      <c r="I722" s="1"/>
      <c r="J722" s="1"/>
      <c r="K722" s="1"/>
      <c r="L722" s="1"/>
    </row>
    <row r="723">
      <c r="B723" s="1"/>
      <c r="C723" s="1"/>
      <c r="D723" s="1"/>
      <c r="E723" s="1"/>
      <c r="F723" s="1"/>
      <c r="G723" s="1"/>
      <c r="H723" s="1"/>
      <c r="I723" s="1"/>
      <c r="J723" s="1"/>
      <c r="K723" s="1"/>
      <c r="L723" s="1"/>
    </row>
    <row r="724">
      <c r="B724" s="1"/>
      <c r="C724" s="1"/>
      <c r="D724" s="1"/>
      <c r="E724" s="1"/>
      <c r="F724" s="1"/>
      <c r="G724" s="1"/>
      <c r="H724" s="1"/>
      <c r="I724" s="1"/>
      <c r="J724" s="1"/>
      <c r="K724" s="1"/>
      <c r="L724" s="1"/>
    </row>
    <row r="725">
      <c r="B725" s="1"/>
      <c r="C725" s="1"/>
      <c r="D725" s="1"/>
      <c r="E725" s="1"/>
      <c r="F725" s="1"/>
      <c r="G725" s="1"/>
      <c r="H725" s="1"/>
      <c r="I725" s="1"/>
      <c r="J725" s="1"/>
      <c r="K725" s="1"/>
      <c r="L725" s="1"/>
    </row>
    <row r="726">
      <c r="B726" s="1"/>
      <c r="C726" s="1"/>
      <c r="D726" s="1"/>
      <c r="E726" s="1"/>
      <c r="F726" s="1"/>
      <c r="G726" s="1"/>
      <c r="H726" s="1"/>
      <c r="I726" s="1"/>
      <c r="J726" s="1"/>
      <c r="K726" s="1"/>
      <c r="L726" s="1"/>
    </row>
    <row r="727">
      <c r="B727" s="1"/>
      <c r="C727" s="1"/>
      <c r="D727" s="1"/>
      <c r="E727" s="1"/>
      <c r="F727" s="1"/>
      <c r="G727" s="1"/>
      <c r="H727" s="1"/>
      <c r="I727" s="1"/>
      <c r="J727" s="1"/>
      <c r="K727" s="1"/>
      <c r="L727" s="1"/>
    </row>
    <row r="728">
      <c r="B728" s="1"/>
      <c r="C728" s="1"/>
      <c r="D728" s="1"/>
      <c r="E728" s="1"/>
      <c r="F728" s="1"/>
      <c r="G728" s="1"/>
      <c r="H728" s="1"/>
      <c r="I728" s="1"/>
      <c r="J728" s="1"/>
      <c r="K728" s="1"/>
      <c r="L728" s="1"/>
    </row>
    <row r="729">
      <c r="B729" s="1"/>
      <c r="C729" s="1"/>
      <c r="D729" s="1"/>
      <c r="E729" s="1"/>
      <c r="F729" s="1"/>
      <c r="G729" s="1"/>
      <c r="H729" s="1"/>
      <c r="I729" s="1"/>
      <c r="J729" s="1"/>
      <c r="K729" s="1"/>
      <c r="L729" s="1"/>
    </row>
    <row r="730">
      <c r="B730" s="1"/>
      <c r="C730" s="1"/>
      <c r="D730" s="1"/>
      <c r="E730" s="1"/>
      <c r="F730" s="1"/>
      <c r="G730" s="1"/>
      <c r="H730" s="1"/>
      <c r="I730" s="1"/>
      <c r="J730" s="1"/>
      <c r="K730" s="1"/>
      <c r="L730" s="1"/>
    </row>
    <row r="731">
      <c r="B731" s="1"/>
      <c r="C731" s="1"/>
      <c r="D731" s="1"/>
      <c r="E731" s="1"/>
      <c r="F731" s="1"/>
      <c r="G731" s="1"/>
      <c r="H731" s="1"/>
      <c r="I731" s="1"/>
      <c r="J731" s="1"/>
      <c r="K731" s="1"/>
      <c r="L731" s="1"/>
    </row>
    <row r="732">
      <c r="B732" s="1"/>
      <c r="C732" s="1"/>
      <c r="D732" s="1"/>
      <c r="E732" s="1"/>
      <c r="F732" s="1"/>
      <c r="G732" s="1"/>
      <c r="H732" s="1"/>
      <c r="I732" s="1"/>
      <c r="J732" s="1"/>
      <c r="K732" s="1"/>
      <c r="L732" s="1"/>
    </row>
    <row r="733">
      <c r="B733" s="1"/>
      <c r="C733" s="1"/>
      <c r="D733" s="1"/>
      <c r="E733" s="1"/>
      <c r="F733" s="1"/>
      <c r="G733" s="1"/>
      <c r="H733" s="1"/>
      <c r="I733" s="1"/>
      <c r="J733" s="1"/>
      <c r="K733" s="1"/>
      <c r="L733" s="1"/>
    </row>
    <row r="734">
      <c r="B734" s="1"/>
      <c r="C734" s="1"/>
      <c r="D734" s="1"/>
      <c r="E734" s="1"/>
      <c r="F734" s="1"/>
      <c r="G734" s="1"/>
      <c r="H734" s="1"/>
      <c r="I734" s="1"/>
      <c r="J734" s="1"/>
      <c r="K734" s="1"/>
      <c r="L734" s="1"/>
    </row>
    <row r="735">
      <c r="B735" s="1"/>
      <c r="C735" s="1"/>
      <c r="D735" s="1"/>
      <c r="E735" s="1"/>
      <c r="F735" s="1"/>
      <c r="G735" s="1"/>
      <c r="H735" s="1"/>
      <c r="I735" s="1"/>
      <c r="J735" s="1"/>
      <c r="K735" s="1"/>
      <c r="L735" s="1"/>
    </row>
    <row r="736">
      <c r="B736" s="1"/>
      <c r="C736" s="1"/>
      <c r="D736" s="1"/>
      <c r="E736" s="1"/>
      <c r="F736" s="1"/>
      <c r="G736" s="1"/>
      <c r="H736" s="1"/>
      <c r="I736" s="1"/>
      <c r="J736" s="1"/>
      <c r="K736" s="1"/>
      <c r="L736" s="1"/>
    </row>
    <row r="737">
      <c r="B737" s="1"/>
      <c r="C737" s="1"/>
      <c r="D737" s="1"/>
      <c r="E737" s="1"/>
      <c r="F737" s="1"/>
      <c r="G737" s="1"/>
      <c r="H737" s="1"/>
      <c r="I737" s="1"/>
      <c r="J737" s="1"/>
      <c r="K737" s="1"/>
      <c r="L737" s="1"/>
    </row>
    <row r="738">
      <c r="B738" s="1"/>
      <c r="C738" s="1"/>
      <c r="D738" s="1"/>
      <c r="E738" s="1"/>
      <c r="F738" s="1"/>
      <c r="G738" s="1"/>
      <c r="H738" s="1"/>
      <c r="I738" s="1"/>
      <c r="J738" s="1"/>
      <c r="K738" s="1"/>
      <c r="L738" s="1"/>
    </row>
    <row r="739">
      <c r="B739" s="1"/>
      <c r="C739" s="1"/>
      <c r="D739" s="1"/>
      <c r="E739" s="1"/>
      <c r="F739" s="1"/>
      <c r="G739" s="1"/>
      <c r="H739" s="1"/>
      <c r="I739" s="1"/>
      <c r="J739" s="1"/>
      <c r="K739" s="1"/>
      <c r="L739" s="1"/>
    </row>
    <row r="740">
      <c r="B740" s="1"/>
      <c r="C740" s="1"/>
      <c r="D740" s="1"/>
      <c r="E740" s="1"/>
      <c r="F740" s="1"/>
      <c r="G740" s="1"/>
      <c r="H740" s="1"/>
      <c r="I740" s="1"/>
      <c r="J740" s="1"/>
      <c r="K740" s="1"/>
      <c r="L740" s="1"/>
    </row>
    <row r="741">
      <c r="B741" s="1"/>
      <c r="C741" s="1"/>
      <c r="D741" s="1"/>
      <c r="E741" s="1"/>
      <c r="F741" s="1"/>
      <c r="G741" s="1"/>
      <c r="H741" s="1"/>
      <c r="I741" s="1"/>
      <c r="J741" s="1"/>
      <c r="K741" s="1"/>
      <c r="L741" s="1"/>
    </row>
    <row r="742">
      <c r="B742" s="1"/>
      <c r="C742" s="1"/>
      <c r="D742" s="1"/>
      <c r="E742" s="1"/>
      <c r="F742" s="1"/>
      <c r="G742" s="1"/>
      <c r="H742" s="1"/>
      <c r="I742" s="1"/>
      <c r="J742" s="1"/>
      <c r="K742" s="1"/>
      <c r="L742" s="1"/>
    </row>
    <row r="743">
      <c r="B743" s="1"/>
      <c r="C743" s="1"/>
      <c r="D743" s="1"/>
      <c r="E743" s="1"/>
      <c r="F743" s="1"/>
      <c r="G743" s="1"/>
      <c r="H743" s="1"/>
      <c r="I743" s="1"/>
      <c r="J743" s="1"/>
      <c r="K743" s="1"/>
      <c r="L743" s="1"/>
    </row>
    <row r="744">
      <c r="B744" s="1"/>
      <c r="C744" s="1"/>
      <c r="D744" s="1"/>
      <c r="E744" s="1"/>
      <c r="F744" s="1"/>
      <c r="G744" s="1"/>
      <c r="H744" s="1"/>
      <c r="I744" s="1"/>
      <c r="J744" s="1"/>
      <c r="K744" s="1"/>
      <c r="L744" s="1"/>
    </row>
    <row r="745">
      <c r="B745" s="1"/>
      <c r="C745" s="1"/>
      <c r="D745" s="1"/>
      <c r="E745" s="1"/>
      <c r="F745" s="1"/>
      <c r="G745" s="1"/>
      <c r="H745" s="1"/>
      <c r="I745" s="1"/>
      <c r="J745" s="1"/>
      <c r="K745" s="1"/>
      <c r="L745" s="1"/>
    </row>
    <row r="746">
      <c r="B746" s="1"/>
      <c r="C746" s="1"/>
      <c r="D746" s="1"/>
      <c r="E746" s="1"/>
      <c r="F746" s="1"/>
      <c r="G746" s="1"/>
      <c r="H746" s="1"/>
      <c r="I746" s="1"/>
      <c r="J746" s="1"/>
      <c r="K746" s="1"/>
      <c r="L746" s="1"/>
    </row>
    <row r="747">
      <c r="B747" s="1"/>
      <c r="C747" s="1"/>
      <c r="D747" s="1"/>
      <c r="E747" s="1"/>
      <c r="F747" s="1"/>
      <c r="G747" s="1"/>
      <c r="H747" s="1"/>
      <c r="I747" s="1"/>
      <c r="J747" s="1"/>
      <c r="K747" s="1"/>
      <c r="L747" s="1"/>
    </row>
    <row r="748">
      <c r="B748" s="1"/>
      <c r="C748" s="1"/>
      <c r="D748" s="1"/>
      <c r="E748" s="1"/>
      <c r="F748" s="1"/>
      <c r="G748" s="1"/>
      <c r="H748" s="1"/>
      <c r="I748" s="1"/>
      <c r="J748" s="1"/>
      <c r="K748" s="1"/>
      <c r="L748" s="1"/>
    </row>
    <row r="749">
      <c r="B749" s="1"/>
      <c r="C749" s="1"/>
      <c r="D749" s="1"/>
      <c r="E749" s="1"/>
      <c r="F749" s="1"/>
      <c r="G749" s="1"/>
      <c r="H749" s="1"/>
      <c r="I749" s="1"/>
      <c r="J749" s="1"/>
      <c r="K749" s="1"/>
      <c r="L749" s="1"/>
    </row>
    <row r="750">
      <c r="B750" s="1"/>
      <c r="C750" s="1"/>
      <c r="D750" s="1"/>
      <c r="E750" s="1"/>
      <c r="F750" s="1"/>
      <c r="G750" s="1"/>
      <c r="H750" s="1"/>
      <c r="I750" s="1"/>
      <c r="J750" s="1"/>
      <c r="K750" s="1"/>
      <c r="L750" s="1"/>
    </row>
    <row r="751">
      <c r="B751" s="1"/>
      <c r="C751" s="1"/>
      <c r="D751" s="1"/>
      <c r="E751" s="1"/>
      <c r="F751" s="1"/>
      <c r="G751" s="1"/>
      <c r="H751" s="1"/>
      <c r="I751" s="1"/>
      <c r="J751" s="1"/>
      <c r="K751" s="1"/>
      <c r="L751" s="1"/>
    </row>
    <row r="752">
      <c r="B752" s="1"/>
      <c r="C752" s="1"/>
      <c r="D752" s="1"/>
      <c r="E752" s="1"/>
      <c r="F752" s="1"/>
      <c r="G752" s="1"/>
      <c r="H752" s="1"/>
      <c r="I752" s="1"/>
      <c r="J752" s="1"/>
      <c r="K752" s="1"/>
      <c r="L752" s="1"/>
    </row>
    <row r="753">
      <c r="B753" s="1"/>
      <c r="C753" s="1"/>
      <c r="D753" s="1"/>
      <c r="E753" s="1"/>
      <c r="F753" s="1"/>
      <c r="G753" s="1"/>
      <c r="H753" s="1"/>
      <c r="I753" s="1"/>
      <c r="J753" s="1"/>
      <c r="K753" s="1"/>
      <c r="L753" s="1"/>
    </row>
    <row r="754">
      <c r="B754" s="1"/>
      <c r="C754" s="1"/>
      <c r="D754" s="1"/>
      <c r="E754" s="1"/>
      <c r="F754" s="1"/>
      <c r="G754" s="1"/>
      <c r="H754" s="1"/>
      <c r="I754" s="1"/>
      <c r="J754" s="1"/>
      <c r="K754" s="1"/>
      <c r="L754" s="1"/>
    </row>
    <row r="755">
      <c r="B755" s="1"/>
      <c r="C755" s="1"/>
      <c r="D755" s="1"/>
      <c r="E755" s="1"/>
      <c r="F755" s="1"/>
      <c r="G755" s="1"/>
      <c r="H755" s="1"/>
      <c r="I755" s="1"/>
      <c r="J755" s="1"/>
      <c r="K755" s="1"/>
      <c r="L755" s="1"/>
    </row>
    <row r="756">
      <c r="B756" s="1"/>
      <c r="C756" s="1"/>
      <c r="D756" s="1"/>
      <c r="E756" s="1"/>
      <c r="F756" s="1"/>
      <c r="G756" s="1"/>
      <c r="H756" s="1"/>
      <c r="I756" s="1"/>
      <c r="J756" s="1"/>
      <c r="K756" s="1"/>
      <c r="L756" s="1"/>
    </row>
    <row r="757">
      <c r="B757" s="1"/>
      <c r="C757" s="1"/>
      <c r="D757" s="1"/>
      <c r="E757" s="1"/>
      <c r="F757" s="1"/>
      <c r="G757" s="1"/>
      <c r="H757" s="1"/>
      <c r="I757" s="1"/>
      <c r="J757" s="1"/>
      <c r="K757" s="1"/>
      <c r="L757" s="1"/>
    </row>
    <row r="758">
      <c r="B758" s="1"/>
      <c r="C758" s="1"/>
      <c r="D758" s="1"/>
      <c r="E758" s="1"/>
      <c r="F758" s="1"/>
      <c r="G758" s="1"/>
      <c r="H758" s="1"/>
      <c r="I758" s="1"/>
      <c r="J758" s="1"/>
      <c r="K758" s="1"/>
      <c r="L758" s="1"/>
    </row>
    <row r="759">
      <c r="B759" s="1"/>
      <c r="C759" s="1"/>
      <c r="D759" s="1"/>
      <c r="E759" s="1"/>
      <c r="F759" s="1"/>
      <c r="G759" s="1"/>
      <c r="H759" s="1"/>
      <c r="I759" s="1"/>
      <c r="J759" s="1"/>
      <c r="K759" s="1"/>
      <c r="L759" s="1"/>
    </row>
    <row r="760">
      <c r="B760" s="1"/>
      <c r="C760" s="1"/>
      <c r="D760" s="1"/>
      <c r="E760" s="1"/>
      <c r="F760" s="1"/>
      <c r="G760" s="1"/>
      <c r="H760" s="1"/>
      <c r="I760" s="1"/>
      <c r="J760" s="1"/>
      <c r="K760" s="1"/>
      <c r="L760" s="1"/>
    </row>
    <row r="761">
      <c r="B761" s="1"/>
      <c r="C761" s="1"/>
      <c r="D761" s="1"/>
      <c r="E761" s="1"/>
      <c r="F761" s="1"/>
      <c r="G761" s="1"/>
      <c r="H761" s="1"/>
      <c r="I761" s="1"/>
      <c r="J761" s="1"/>
      <c r="K761" s="1"/>
      <c r="L761" s="1"/>
    </row>
    <row r="762">
      <c r="B762" s="1"/>
      <c r="C762" s="1"/>
      <c r="D762" s="1"/>
      <c r="E762" s="1"/>
      <c r="F762" s="1"/>
      <c r="G762" s="1"/>
      <c r="H762" s="1"/>
      <c r="I762" s="1"/>
      <c r="J762" s="1"/>
      <c r="K762" s="1"/>
      <c r="L762" s="1"/>
    </row>
    <row r="763">
      <c r="B763" s="1"/>
      <c r="C763" s="1"/>
      <c r="D763" s="1"/>
      <c r="E763" s="1"/>
      <c r="F763" s="1"/>
      <c r="G763" s="1"/>
      <c r="H763" s="1"/>
      <c r="I763" s="1"/>
      <c r="J763" s="1"/>
      <c r="K763" s="1"/>
      <c r="L763" s="1"/>
    </row>
    <row r="764">
      <c r="B764" s="1"/>
      <c r="C764" s="1"/>
      <c r="D764" s="1"/>
      <c r="E764" s="1"/>
      <c r="F764" s="1"/>
      <c r="G764" s="1"/>
      <c r="H764" s="1"/>
      <c r="I764" s="1"/>
      <c r="J764" s="1"/>
      <c r="K764" s="1"/>
      <c r="L764" s="1"/>
    </row>
    <row r="765">
      <c r="B765" s="1"/>
      <c r="C765" s="1"/>
      <c r="D765" s="1"/>
      <c r="E765" s="1"/>
      <c r="F765" s="1"/>
      <c r="G765" s="1"/>
      <c r="H765" s="1"/>
      <c r="I765" s="1"/>
      <c r="J765" s="1"/>
      <c r="K765" s="1"/>
      <c r="L765" s="1"/>
    </row>
    <row r="766">
      <c r="B766" s="1"/>
      <c r="C766" s="1"/>
      <c r="D766" s="1"/>
      <c r="E766" s="1"/>
      <c r="F766" s="1"/>
      <c r="G766" s="1"/>
      <c r="H766" s="1"/>
      <c r="I766" s="1"/>
      <c r="J766" s="1"/>
      <c r="K766" s="1"/>
      <c r="L766" s="1"/>
    </row>
    <row r="767">
      <c r="B767" s="1"/>
      <c r="C767" s="1"/>
      <c r="D767" s="1"/>
      <c r="E767" s="1"/>
      <c r="F767" s="1"/>
      <c r="G767" s="1"/>
      <c r="H767" s="1"/>
      <c r="I767" s="1"/>
      <c r="J767" s="1"/>
      <c r="K767" s="1"/>
      <c r="L767" s="1"/>
    </row>
    <row r="768">
      <c r="B768" s="1"/>
      <c r="C768" s="1"/>
      <c r="D768" s="1"/>
      <c r="E768" s="1"/>
      <c r="F768" s="1"/>
      <c r="G768" s="1"/>
      <c r="H768" s="1"/>
      <c r="I768" s="1"/>
      <c r="J768" s="1"/>
      <c r="K768" s="1"/>
      <c r="L768" s="1"/>
    </row>
    <row r="769">
      <c r="B769" s="1"/>
      <c r="C769" s="1"/>
      <c r="D769" s="1"/>
      <c r="E769" s="1"/>
      <c r="F769" s="1"/>
      <c r="G769" s="1"/>
      <c r="H769" s="1"/>
      <c r="I769" s="1"/>
      <c r="J769" s="1"/>
      <c r="K769" s="1"/>
      <c r="L769" s="1"/>
    </row>
    <row r="770">
      <c r="B770" s="1"/>
      <c r="C770" s="1"/>
      <c r="D770" s="1"/>
      <c r="E770" s="1"/>
      <c r="F770" s="1"/>
      <c r="G770" s="1"/>
      <c r="H770" s="1"/>
      <c r="I770" s="1"/>
      <c r="J770" s="1"/>
      <c r="K770" s="1"/>
      <c r="L770" s="1"/>
    </row>
    <row r="771">
      <c r="B771" s="1"/>
      <c r="C771" s="1"/>
      <c r="D771" s="1"/>
      <c r="E771" s="1"/>
      <c r="F771" s="1"/>
      <c r="G771" s="1"/>
      <c r="H771" s="1"/>
      <c r="I771" s="1"/>
      <c r="J771" s="1"/>
      <c r="K771" s="1"/>
      <c r="L771" s="1"/>
    </row>
    <row r="772">
      <c r="B772" s="1"/>
      <c r="C772" s="1"/>
      <c r="D772" s="1"/>
      <c r="E772" s="1"/>
      <c r="F772" s="1"/>
      <c r="G772" s="1"/>
      <c r="H772" s="1"/>
      <c r="I772" s="1"/>
      <c r="J772" s="1"/>
      <c r="K772" s="1"/>
      <c r="L772" s="1"/>
    </row>
    <row r="773">
      <c r="B773" s="1"/>
      <c r="C773" s="1"/>
      <c r="D773" s="1"/>
      <c r="E773" s="1"/>
      <c r="F773" s="1"/>
      <c r="G773" s="1"/>
      <c r="H773" s="1"/>
      <c r="I773" s="1"/>
      <c r="J773" s="1"/>
      <c r="K773" s="1"/>
      <c r="L773" s="1"/>
    </row>
    <row r="774">
      <c r="B774" s="1"/>
      <c r="C774" s="1"/>
      <c r="D774" s="1"/>
      <c r="E774" s="1"/>
      <c r="F774" s="1"/>
      <c r="G774" s="1"/>
      <c r="H774" s="1"/>
      <c r="I774" s="1"/>
      <c r="J774" s="1"/>
      <c r="K774" s="1"/>
      <c r="L774" s="1"/>
    </row>
    <row r="775">
      <c r="B775" s="1"/>
      <c r="C775" s="1"/>
      <c r="D775" s="1"/>
      <c r="E775" s="1"/>
      <c r="F775" s="1"/>
      <c r="G775" s="1"/>
      <c r="H775" s="1"/>
      <c r="I775" s="1"/>
      <c r="J775" s="1"/>
      <c r="K775" s="1"/>
      <c r="L775" s="1"/>
    </row>
    <row r="776">
      <c r="B776" s="1"/>
      <c r="C776" s="1"/>
      <c r="D776" s="1"/>
      <c r="E776" s="1"/>
      <c r="F776" s="1"/>
      <c r="G776" s="1"/>
      <c r="H776" s="1"/>
      <c r="I776" s="1"/>
      <c r="J776" s="1"/>
      <c r="K776" s="1"/>
      <c r="L776" s="1"/>
    </row>
    <row r="777">
      <c r="B777" s="1"/>
      <c r="C777" s="1"/>
      <c r="D777" s="1"/>
      <c r="E777" s="1"/>
      <c r="F777" s="1"/>
      <c r="G777" s="1"/>
      <c r="H777" s="1"/>
      <c r="I777" s="1"/>
      <c r="J777" s="1"/>
      <c r="K777" s="1"/>
      <c r="L777" s="1"/>
    </row>
    <row r="778">
      <c r="B778" s="1"/>
      <c r="C778" s="1"/>
      <c r="D778" s="1"/>
      <c r="E778" s="1"/>
      <c r="F778" s="1"/>
      <c r="G778" s="1"/>
      <c r="H778" s="1"/>
      <c r="I778" s="1"/>
      <c r="J778" s="1"/>
      <c r="K778" s="1"/>
      <c r="L778" s="1"/>
    </row>
    <row r="779">
      <c r="B779" s="1"/>
      <c r="C779" s="1"/>
      <c r="D779" s="1"/>
      <c r="E779" s="1"/>
      <c r="F779" s="1"/>
      <c r="G779" s="1"/>
      <c r="H779" s="1"/>
      <c r="I779" s="1"/>
      <c r="J779" s="1"/>
      <c r="K779" s="1"/>
      <c r="L779" s="1"/>
    </row>
    <row r="780">
      <c r="B780" s="1"/>
      <c r="C780" s="1"/>
      <c r="D780" s="1"/>
      <c r="E780" s="1"/>
      <c r="F780" s="1"/>
      <c r="G780" s="1"/>
      <c r="H780" s="1"/>
      <c r="I780" s="1"/>
      <c r="J780" s="1"/>
      <c r="K780" s="1"/>
      <c r="L780" s="1"/>
    </row>
    <row r="781">
      <c r="B781" s="1"/>
      <c r="C781" s="1"/>
      <c r="D781" s="1"/>
      <c r="E781" s="1"/>
      <c r="F781" s="1"/>
      <c r="G781" s="1"/>
      <c r="H781" s="1"/>
      <c r="I781" s="1"/>
      <c r="J781" s="1"/>
      <c r="K781" s="1"/>
      <c r="L781" s="1"/>
    </row>
    <row r="782">
      <c r="B782" s="1"/>
      <c r="C782" s="1"/>
      <c r="D782" s="1"/>
      <c r="E782" s="1"/>
      <c r="F782" s="1"/>
      <c r="G782" s="1"/>
      <c r="H782" s="1"/>
      <c r="I782" s="1"/>
      <c r="J782" s="1"/>
      <c r="K782" s="1"/>
      <c r="L782" s="1"/>
    </row>
    <row r="783">
      <c r="B783" s="1"/>
      <c r="C783" s="1"/>
      <c r="D783" s="1"/>
      <c r="E783" s="1"/>
      <c r="F783" s="1"/>
      <c r="G783" s="1"/>
      <c r="H783" s="1"/>
      <c r="I783" s="1"/>
      <c r="J783" s="1"/>
      <c r="K783" s="1"/>
      <c r="L783" s="1"/>
    </row>
    <row r="784">
      <c r="B784" s="1"/>
      <c r="C784" s="1"/>
      <c r="D784" s="1"/>
      <c r="E784" s="1"/>
      <c r="F784" s="1"/>
      <c r="G784" s="1"/>
      <c r="H784" s="1"/>
      <c r="I784" s="1"/>
      <c r="J784" s="1"/>
      <c r="K784" s="1"/>
      <c r="L784" s="1"/>
    </row>
    <row r="785">
      <c r="B785" s="1"/>
      <c r="C785" s="1"/>
      <c r="D785" s="1"/>
      <c r="E785" s="1"/>
      <c r="F785" s="1"/>
      <c r="G785" s="1"/>
      <c r="H785" s="1"/>
      <c r="I785" s="1"/>
      <c r="J785" s="1"/>
      <c r="K785" s="1"/>
      <c r="L785" s="1"/>
    </row>
    <row r="786">
      <c r="B786" s="1"/>
      <c r="C786" s="1"/>
      <c r="D786" s="1"/>
      <c r="E786" s="1"/>
      <c r="F786" s="1"/>
      <c r="G786" s="1"/>
      <c r="H786" s="1"/>
      <c r="I786" s="1"/>
      <c r="J786" s="1"/>
      <c r="K786" s="1"/>
      <c r="L786" s="1"/>
    </row>
    <row r="787">
      <c r="B787" s="1"/>
      <c r="C787" s="1"/>
      <c r="D787" s="1"/>
      <c r="E787" s="1"/>
      <c r="F787" s="1"/>
      <c r="G787" s="1"/>
      <c r="H787" s="1"/>
      <c r="I787" s="1"/>
      <c r="J787" s="1"/>
      <c r="K787" s="1"/>
      <c r="L787" s="1"/>
    </row>
    <row r="788">
      <c r="B788" s="1"/>
      <c r="C788" s="1"/>
      <c r="D788" s="1"/>
      <c r="E788" s="1"/>
      <c r="F788" s="1"/>
      <c r="G788" s="1"/>
      <c r="H788" s="1"/>
      <c r="I788" s="1"/>
      <c r="J788" s="1"/>
      <c r="K788" s="1"/>
      <c r="L788" s="1"/>
    </row>
    <row r="789">
      <c r="B789" s="1"/>
      <c r="C789" s="1"/>
      <c r="D789" s="1"/>
      <c r="E789" s="1"/>
      <c r="F789" s="1"/>
      <c r="G789" s="1"/>
      <c r="H789" s="1"/>
      <c r="I789" s="1"/>
      <c r="J789" s="1"/>
      <c r="K789" s="1"/>
      <c r="L789" s="1"/>
    </row>
    <row r="790">
      <c r="B790" s="1"/>
      <c r="C790" s="1"/>
      <c r="D790" s="1"/>
      <c r="E790" s="1"/>
      <c r="F790" s="1"/>
      <c r="G790" s="1"/>
      <c r="H790" s="1"/>
      <c r="I790" s="1"/>
      <c r="J790" s="1"/>
      <c r="K790" s="1"/>
      <c r="L790" s="1"/>
    </row>
    <row r="791">
      <c r="B791" s="1"/>
      <c r="C791" s="1"/>
      <c r="D791" s="1"/>
      <c r="E791" s="1"/>
      <c r="F791" s="1"/>
      <c r="G791" s="1"/>
      <c r="H791" s="1"/>
      <c r="I791" s="1"/>
      <c r="J791" s="1"/>
      <c r="K791" s="1"/>
      <c r="L791" s="1"/>
    </row>
    <row r="792">
      <c r="B792" s="1"/>
      <c r="C792" s="1"/>
      <c r="D792" s="1"/>
      <c r="E792" s="1"/>
      <c r="F792" s="1"/>
      <c r="G792" s="1"/>
      <c r="H792" s="1"/>
      <c r="I792" s="1"/>
      <c r="J792" s="1"/>
      <c r="K792" s="1"/>
      <c r="L792" s="1"/>
    </row>
    <row r="793">
      <c r="B793" s="1"/>
      <c r="C793" s="1"/>
      <c r="D793" s="1"/>
      <c r="E793" s="1"/>
      <c r="F793" s="1"/>
      <c r="G793" s="1"/>
      <c r="H793" s="1"/>
      <c r="I793" s="1"/>
      <c r="J793" s="1"/>
      <c r="K793" s="1"/>
      <c r="L793" s="1"/>
    </row>
    <row r="794">
      <c r="B794" s="1"/>
      <c r="C794" s="1"/>
      <c r="D794" s="1"/>
      <c r="E794" s="1"/>
      <c r="F794" s="1"/>
      <c r="G794" s="1"/>
      <c r="H794" s="1"/>
      <c r="I794" s="1"/>
      <c r="J794" s="1"/>
      <c r="K794" s="1"/>
      <c r="L794" s="1"/>
    </row>
    <row r="795">
      <c r="B795" s="1"/>
      <c r="C795" s="1"/>
      <c r="D795" s="1"/>
      <c r="E795" s="1"/>
      <c r="F795" s="1"/>
      <c r="G795" s="1"/>
      <c r="H795" s="1"/>
      <c r="I795" s="1"/>
      <c r="J795" s="1"/>
      <c r="K795" s="1"/>
      <c r="L795" s="1"/>
    </row>
    <row r="796">
      <c r="B796" s="1"/>
      <c r="C796" s="1"/>
      <c r="D796" s="1"/>
      <c r="E796" s="1"/>
      <c r="F796" s="1"/>
      <c r="G796" s="1"/>
      <c r="H796" s="1"/>
      <c r="I796" s="1"/>
      <c r="J796" s="1"/>
      <c r="K796" s="1"/>
      <c r="L796" s="1"/>
    </row>
    <row r="797">
      <c r="B797" s="1"/>
      <c r="C797" s="1"/>
      <c r="D797" s="1"/>
      <c r="E797" s="1"/>
      <c r="F797" s="1"/>
      <c r="G797" s="1"/>
      <c r="H797" s="1"/>
      <c r="I797" s="1"/>
      <c r="J797" s="1"/>
      <c r="K797" s="1"/>
      <c r="L797" s="1"/>
    </row>
    <row r="798">
      <c r="B798" s="1"/>
      <c r="C798" s="1"/>
      <c r="D798" s="1"/>
      <c r="E798" s="1"/>
      <c r="F798" s="1"/>
      <c r="G798" s="1"/>
      <c r="H798" s="1"/>
      <c r="I798" s="1"/>
      <c r="J798" s="1"/>
      <c r="K798" s="1"/>
      <c r="L798" s="1"/>
    </row>
    <row r="799">
      <c r="B799" s="1"/>
      <c r="C799" s="1"/>
      <c r="D799" s="1"/>
      <c r="E799" s="1"/>
      <c r="F799" s="1"/>
      <c r="G799" s="1"/>
      <c r="H799" s="1"/>
      <c r="I799" s="1"/>
      <c r="J799" s="1"/>
      <c r="K799" s="1"/>
      <c r="L799" s="1"/>
    </row>
    <row r="800">
      <c r="B800" s="1"/>
      <c r="C800" s="1"/>
      <c r="D800" s="1"/>
      <c r="E800" s="1"/>
      <c r="F800" s="1"/>
      <c r="G800" s="1"/>
      <c r="H800" s="1"/>
      <c r="I800" s="1"/>
      <c r="J800" s="1"/>
      <c r="K800" s="1"/>
      <c r="L800" s="1"/>
    </row>
    <row r="801">
      <c r="B801" s="1"/>
      <c r="C801" s="1"/>
      <c r="D801" s="1"/>
      <c r="E801" s="1"/>
      <c r="F801" s="1"/>
      <c r="G801" s="1"/>
      <c r="H801" s="1"/>
      <c r="I801" s="1"/>
      <c r="J801" s="1"/>
      <c r="K801" s="1"/>
      <c r="L801" s="1"/>
    </row>
    <row r="802">
      <c r="B802" s="1"/>
      <c r="C802" s="1"/>
      <c r="D802" s="1"/>
      <c r="E802" s="1"/>
      <c r="F802" s="1"/>
      <c r="G802" s="1"/>
      <c r="H802" s="1"/>
      <c r="I802" s="1"/>
      <c r="J802" s="1"/>
      <c r="K802" s="1"/>
      <c r="L802" s="1"/>
    </row>
    <row r="803">
      <c r="B803" s="1"/>
      <c r="C803" s="1"/>
      <c r="D803" s="1"/>
      <c r="E803" s="1"/>
      <c r="F803" s="1"/>
      <c r="G803" s="1"/>
      <c r="H803" s="1"/>
      <c r="I803" s="1"/>
      <c r="J803" s="1"/>
      <c r="K803" s="1"/>
      <c r="L803" s="1"/>
    </row>
    <row r="804">
      <c r="B804" s="1"/>
      <c r="C804" s="1"/>
      <c r="D804" s="1"/>
      <c r="E804" s="1"/>
      <c r="F804" s="1"/>
      <c r="G804" s="1"/>
      <c r="H804" s="1"/>
      <c r="I804" s="1"/>
      <c r="J804" s="1"/>
      <c r="K804" s="1"/>
      <c r="L804" s="1"/>
    </row>
    <row r="805">
      <c r="B805" s="1"/>
      <c r="C805" s="1"/>
      <c r="D805" s="1"/>
      <c r="E805" s="1"/>
      <c r="F805" s="1"/>
      <c r="G805" s="1"/>
      <c r="H805" s="1"/>
      <c r="I805" s="1"/>
      <c r="J805" s="1"/>
      <c r="K805" s="1"/>
      <c r="L805" s="1"/>
    </row>
    <row r="806">
      <c r="B806" s="1"/>
      <c r="C806" s="1"/>
      <c r="D806" s="1"/>
      <c r="E806" s="1"/>
      <c r="F806" s="1"/>
      <c r="G806" s="1"/>
      <c r="H806" s="1"/>
      <c r="I806" s="1"/>
      <c r="J806" s="1"/>
      <c r="K806" s="1"/>
      <c r="L806" s="1"/>
    </row>
    <row r="807">
      <c r="B807" s="1"/>
      <c r="C807" s="1"/>
      <c r="D807" s="1"/>
      <c r="E807" s="1"/>
      <c r="F807" s="1"/>
      <c r="G807" s="1"/>
      <c r="H807" s="1"/>
      <c r="I807" s="1"/>
      <c r="J807" s="1"/>
      <c r="K807" s="1"/>
      <c r="L807" s="1"/>
    </row>
    <row r="808">
      <c r="B808" s="1"/>
      <c r="C808" s="1"/>
      <c r="D808" s="1"/>
      <c r="E808" s="1"/>
      <c r="F808" s="1"/>
      <c r="G808" s="1"/>
      <c r="H808" s="1"/>
      <c r="I808" s="1"/>
      <c r="J808" s="1"/>
      <c r="K808" s="1"/>
      <c r="L808" s="1"/>
    </row>
    <row r="809">
      <c r="B809" s="1"/>
      <c r="C809" s="1"/>
      <c r="D809" s="1"/>
      <c r="E809" s="1"/>
      <c r="F809" s="1"/>
      <c r="G809" s="1"/>
      <c r="H809" s="1"/>
      <c r="I809" s="1"/>
      <c r="J809" s="1"/>
      <c r="K809" s="1"/>
      <c r="L809" s="1"/>
    </row>
    <row r="810">
      <c r="B810" s="1"/>
      <c r="C810" s="1"/>
      <c r="D810" s="1"/>
      <c r="E810" s="1"/>
      <c r="F810" s="1"/>
      <c r="G810" s="1"/>
      <c r="H810" s="1"/>
      <c r="I810" s="1"/>
      <c r="J810" s="1"/>
      <c r="K810" s="1"/>
      <c r="L810" s="1"/>
    </row>
    <row r="811">
      <c r="B811" s="1"/>
      <c r="C811" s="1"/>
      <c r="D811" s="1"/>
      <c r="E811" s="1"/>
      <c r="F811" s="1"/>
      <c r="G811" s="1"/>
      <c r="H811" s="1"/>
      <c r="I811" s="1"/>
      <c r="J811" s="1"/>
      <c r="K811" s="1"/>
      <c r="L811" s="1"/>
    </row>
    <row r="812">
      <c r="B812" s="1"/>
      <c r="C812" s="1"/>
      <c r="D812" s="1"/>
      <c r="E812" s="1"/>
      <c r="F812" s="1"/>
      <c r="G812" s="1"/>
      <c r="H812" s="1"/>
      <c r="I812" s="1"/>
      <c r="J812" s="1"/>
      <c r="K812" s="1"/>
      <c r="L812" s="1"/>
    </row>
    <row r="813">
      <c r="B813" s="1"/>
      <c r="C813" s="1"/>
      <c r="D813" s="1"/>
      <c r="E813" s="1"/>
      <c r="F813" s="1"/>
      <c r="G813" s="1"/>
      <c r="H813" s="1"/>
      <c r="I813" s="1"/>
      <c r="J813" s="1"/>
      <c r="K813" s="1"/>
      <c r="L813" s="1"/>
    </row>
    <row r="814">
      <c r="B814" s="1"/>
      <c r="C814" s="1"/>
      <c r="D814" s="1"/>
      <c r="E814" s="1"/>
      <c r="F814" s="1"/>
      <c r="G814" s="1"/>
      <c r="H814" s="1"/>
      <c r="I814" s="1"/>
      <c r="J814" s="1"/>
      <c r="K814" s="1"/>
      <c r="L814" s="1"/>
    </row>
    <row r="815">
      <c r="B815" s="1"/>
      <c r="C815" s="1"/>
      <c r="D815" s="1"/>
      <c r="E815" s="1"/>
      <c r="F815" s="1"/>
      <c r="G815" s="1"/>
      <c r="H815" s="1"/>
      <c r="I815" s="1"/>
      <c r="J815" s="1"/>
      <c r="K815" s="1"/>
      <c r="L815" s="1"/>
    </row>
    <row r="816">
      <c r="B816" s="1"/>
      <c r="C816" s="1"/>
      <c r="D816" s="1"/>
      <c r="E816" s="1"/>
      <c r="F816" s="1"/>
      <c r="G816" s="1"/>
      <c r="H816" s="1"/>
      <c r="I816" s="1"/>
      <c r="J816" s="1"/>
      <c r="K816" s="1"/>
      <c r="L816" s="1"/>
    </row>
    <row r="817">
      <c r="B817" s="1"/>
      <c r="C817" s="1"/>
      <c r="D817" s="1"/>
      <c r="E817" s="1"/>
      <c r="F817" s="1"/>
      <c r="G817" s="1"/>
      <c r="H817" s="1"/>
      <c r="I817" s="1"/>
      <c r="J817" s="1"/>
      <c r="K817" s="1"/>
      <c r="L817" s="1"/>
    </row>
    <row r="818">
      <c r="B818" s="1"/>
      <c r="C818" s="1"/>
      <c r="D818" s="1"/>
      <c r="E818" s="1"/>
      <c r="F818" s="1"/>
      <c r="G818" s="1"/>
      <c r="H818" s="1"/>
      <c r="I818" s="1"/>
      <c r="J818" s="1"/>
      <c r="K818" s="1"/>
      <c r="L818" s="1"/>
    </row>
    <row r="819">
      <c r="B819" s="1"/>
      <c r="C819" s="1"/>
      <c r="D819" s="1"/>
      <c r="E819" s="1"/>
      <c r="F819" s="1"/>
      <c r="G819" s="1"/>
      <c r="H819" s="1"/>
      <c r="I819" s="1"/>
      <c r="J819" s="1"/>
      <c r="K819" s="1"/>
      <c r="L819" s="1"/>
    </row>
    <row r="820">
      <c r="B820" s="1"/>
      <c r="C820" s="1"/>
      <c r="D820" s="1"/>
      <c r="E820" s="1"/>
      <c r="F820" s="1"/>
      <c r="G820" s="1"/>
      <c r="H820" s="1"/>
      <c r="I820" s="1"/>
      <c r="J820" s="1"/>
      <c r="K820" s="1"/>
      <c r="L820" s="1"/>
    </row>
    <row r="821">
      <c r="B821" s="1"/>
      <c r="C821" s="1"/>
      <c r="D821" s="1"/>
      <c r="E821" s="1"/>
      <c r="F821" s="1"/>
      <c r="G821" s="1"/>
      <c r="H821" s="1"/>
      <c r="I821" s="1"/>
      <c r="J821" s="1"/>
      <c r="K821" s="1"/>
      <c r="L821" s="1"/>
    </row>
    <row r="822">
      <c r="B822" s="1"/>
      <c r="C822" s="1"/>
      <c r="D822" s="1"/>
      <c r="E822" s="1"/>
      <c r="F822" s="1"/>
      <c r="G822" s="1"/>
      <c r="H822" s="1"/>
      <c r="I822" s="1"/>
      <c r="J822" s="1"/>
      <c r="K822" s="1"/>
      <c r="L822" s="1"/>
    </row>
    <row r="823">
      <c r="B823" s="1"/>
      <c r="C823" s="1"/>
      <c r="D823" s="1"/>
      <c r="E823" s="1"/>
      <c r="F823" s="1"/>
      <c r="G823" s="1"/>
      <c r="H823" s="1"/>
      <c r="I823" s="1"/>
      <c r="J823" s="1"/>
      <c r="K823" s="1"/>
      <c r="L823" s="1"/>
    </row>
    <row r="824">
      <c r="B824" s="1"/>
      <c r="C824" s="1"/>
      <c r="D824" s="1"/>
      <c r="E824" s="1"/>
      <c r="F824" s="1"/>
      <c r="G824" s="1"/>
      <c r="H824" s="1"/>
      <c r="I824" s="1"/>
      <c r="J824" s="1"/>
      <c r="K824" s="1"/>
      <c r="L824" s="1"/>
    </row>
    <row r="825">
      <c r="B825" s="1"/>
      <c r="C825" s="1"/>
      <c r="D825" s="1"/>
      <c r="E825" s="1"/>
      <c r="F825" s="1"/>
      <c r="G825" s="1"/>
      <c r="H825" s="1"/>
      <c r="I825" s="1"/>
      <c r="J825" s="1"/>
      <c r="K825" s="1"/>
      <c r="L825" s="1"/>
    </row>
    <row r="826">
      <c r="B826" s="1"/>
      <c r="C826" s="1"/>
      <c r="D826" s="1"/>
      <c r="E826" s="1"/>
      <c r="F826" s="1"/>
      <c r="G826" s="1"/>
      <c r="H826" s="1"/>
      <c r="I826" s="1"/>
      <c r="J826" s="1"/>
      <c r="K826" s="1"/>
      <c r="L826" s="1"/>
    </row>
    <row r="827">
      <c r="B827" s="1"/>
      <c r="C827" s="1"/>
      <c r="D827" s="1"/>
      <c r="E827" s="1"/>
      <c r="F827" s="1"/>
      <c r="G827" s="1"/>
      <c r="H827" s="1"/>
      <c r="I827" s="1"/>
      <c r="J827" s="1"/>
      <c r="K827" s="1"/>
      <c r="L827" s="1"/>
    </row>
    <row r="828">
      <c r="B828" s="1"/>
      <c r="C828" s="1"/>
      <c r="D828" s="1"/>
      <c r="E828" s="1"/>
      <c r="F828" s="1"/>
      <c r="G828" s="1"/>
      <c r="H828" s="1"/>
      <c r="I828" s="1"/>
      <c r="J828" s="1"/>
      <c r="K828" s="1"/>
      <c r="L828" s="1"/>
    </row>
    <row r="829">
      <c r="B829" s="1"/>
      <c r="C829" s="1"/>
      <c r="D829" s="1"/>
      <c r="E829" s="1"/>
      <c r="F829" s="1"/>
      <c r="G829" s="1"/>
      <c r="H829" s="1"/>
      <c r="I829" s="1"/>
      <c r="J829" s="1"/>
      <c r="K829" s="1"/>
      <c r="L829" s="1"/>
    </row>
    <row r="830">
      <c r="B830" s="1"/>
      <c r="C830" s="1"/>
      <c r="D830" s="1"/>
      <c r="E830" s="1"/>
      <c r="F830" s="1"/>
      <c r="G830" s="1"/>
      <c r="H830" s="1"/>
      <c r="I830" s="1"/>
      <c r="J830" s="1"/>
      <c r="K830" s="1"/>
      <c r="L830" s="1"/>
    </row>
    <row r="831">
      <c r="B831" s="1"/>
      <c r="C831" s="1"/>
      <c r="D831" s="1"/>
      <c r="E831" s="1"/>
      <c r="F831" s="1"/>
      <c r="G831" s="1"/>
      <c r="H831" s="1"/>
      <c r="I831" s="1"/>
      <c r="J831" s="1"/>
      <c r="K831" s="1"/>
      <c r="L831" s="1"/>
    </row>
    <row r="832">
      <c r="B832" s="1"/>
      <c r="C832" s="1"/>
      <c r="D832" s="1"/>
      <c r="E832" s="1"/>
      <c r="F832" s="1"/>
      <c r="G832" s="1"/>
      <c r="H832" s="1"/>
      <c r="I832" s="1"/>
      <c r="J832" s="1"/>
      <c r="K832" s="1"/>
      <c r="L832" s="1"/>
    </row>
    <row r="833">
      <c r="B833" s="1"/>
      <c r="C833" s="1"/>
      <c r="D833" s="1"/>
      <c r="E833" s="1"/>
      <c r="F833" s="1"/>
      <c r="G833" s="1"/>
      <c r="H833" s="1"/>
      <c r="I833" s="1"/>
      <c r="J833" s="1"/>
      <c r="K833" s="1"/>
      <c r="L833" s="1"/>
    </row>
    <row r="834">
      <c r="B834" s="1"/>
      <c r="C834" s="1"/>
      <c r="D834" s="1"/>
      <c r="E834" s="1"/>
      <c r="F834" s="1"/>
      <c r="G834" s="1"/>
      <c r="H834" s="1"/>
      <c r="I834" s="1"/>
      <c r="J834" s="1"/>
      <c r="K834" s="1"/>
      <c r="L834" s="1"/>
    </row>
    <row r="835">
      <c r="B835" s="1"/>
      <c r="C835" s="1"/>
      <c r="D835" s="1"/>
      <c r="E835" s="1"/>
      <c r="F835" s="1"/>
      <c r="G835" s="1"/>
      <c r="H835" s="1"/>
      <c r="I835" s="1"/>
      <c r="J835" s="1"/>
      <c r="K835" s="1"/>
      <c r="L835" s="1"/>
    </row>
    <row r="836">
      <c r="B836" s="1"/>
      <c r="C836" s="1"/>
      <c r="D836" s="1"/>
      <c r="E836" s="1"/>
      <c r="F836" s="1"/>
      <c r="G836" s="1"/>
      <c r="H836" s="1"/>
      <c r="I836" s="1"/>
      <c r="J836" s="1"/>
      <c r="K836" s="1"/>
      <c r="L836" s="1"/>
    </row>
    <row r="837">
      <c r="B837" s="1"/>
      <c r="C837" s="1"/>
      <c r="D837" s="1"/>
      <c r="E837" s="1"/>
      <c r="F837" s="1"/>
      <c r="G837" s="1"/>
      <c r="H837" s="1"/>
      <c r="I837" s="1"/>
      <c r="J837" s="1"/>
      <c r="K837" s="1"/>
      <c r="L837" s="1"/>
    </row>
    <row r="838">
      <c r="B838" s="1"/>
      <c r="C838" s="1"/>
      <c r="D838" s="1"/>
      <c r="E838" s="1"/>
      <c r="F838" s="1"/>
      <c r="G838" s="1"/>
      <c r="H838" s="1"/>
      <c r="I838" s="1"/>
      <c r="J838" s="1"/>
      <c r="K838" s="1"/>
      <c r="L838" s="1"/>
    </row>
    <row r="839">
      <c r="B839" s="1"/>
      <c r="C839" s="1"/>
      <c r="D839" s="1"/>
      <c r="E839" s="1"/>
      <c r="F839" s="1"/>
      <c r="G839" s="1"/>
      <c r="H839" s="1"/>
      <c r="I839" s="1"/>
      <c r="J839" s="1"/>
      <c r="K839" s="1"/>
      <c r="L839" s="1"/>
    </row>
    <row r="840">
      <c r="B840" s="1"/>
      <c r="C840" s="1"/>
      <c r="D840" s="1"/>
      <c r="E840" s="1"/>
      <c r="F840" s="1"/>
      <c r="G840" s="1"/>
      <c r="H840" s="1"/>
      <c r="I840" s="1"/>
      <c r="J840" s="1"/>
      <c r="K840" s="1"/>
      <c r="L840" s="1"/>
    </row>
    <row r="841">
      <c r="B841" s="1"/>
      <c r="C841" s="1"/>
      <c r="D841" s="1"/>
      <c r="E841" s="1"/>
      <c r="F841" s="1"/>
      <c r="G841" s="1"/>
      <c r="H841" s="1"/>
      <c r="I841" s="1"/>
      <c r="J841" s="1"/>
      <c r="K841" s="1"/>
      <c r="L841" s="1"/>
    </row>
    <row r="842">
      <c r="B842" s="1"/>
      <c r="C842" s="1"/>
      <c r="D842" s="1"/>
      <c r="E842" s="1"/>
      <c r="F842" s="1"/>
      <c r="G842" s="1"/>
      <c r="H842" s="1"/>
      <c r="I842" s="1"/>
      <c r="J842" s="1"/>
      <c r="K842" s="1"/>
      <c r="L842" s="1"/>
    </row>
    <row r="843">
      <c r="B843" s="1"/>
      <c r="C843" s="1"/>
      <c r="D843" s="1"/>
      <c r="E843" s="1"/>
      <c r="F843" s="1"/>
      <c r="G843" s="1"/>
      <c r="H843" s="1"/>
      <c r="I843" s="1"/>
      <c r="J843" s="1"/>
      <c r="K843" s="1"/>
      <c r="L843" s="1"/>
    </row>
    <row r="844">
      <c r="B844" s="1"/>
      <c r="C844" s="1"/>
      <c r="D844" s="1"/>
      <c r="E844" s="1"/>
      <c r="F844" s="1"/>
      <c r="G844" s="1"/>
      <c r="H844" s="1"/>
      <c r="I844" s="1"/>
      <c r="J844" s="1"/>
      <c r="K844" s="1"/>
      <c r="L844" s="1"/>
    </row>
    <row r="845">
      <c r="B845" s="1"/>
      <c r="C845" s="1"/>
      <c r="D845" s="1"/>
      <c r="E845" s="1"/>
      <c r="F845" s="1"/>
      <c r="G845" s="1"/>
      <c r="H845" s="1"/>
      <c r="I845" s="1"/>
      <c r="J845" s="1"/>
      <c r="K845" s="1"/>
      <c r="L845" s="1"/>
    </row>
    <row r="846">
      <c r="B846" s="1"/>
      <c r="C846" s="1"/>
      <c r="D846" s="1"/>
      <c r="E846" s="1"/>
      <c r="F846" s="1"/>
      <c r="G846" s="1"/>
      <c r="H846" s="1"/>
      <c r="I846" s="1"/>
      <c r="J846" s="1"/>
      <c r="K846" s="1"/>
      <c r="L846" s="1"/>
    </row>
    <row r="847">
      <c r="B847" s="1"/>
      <c r="C847" s="1"/>
      <c r="D847" s="1"/>
      <c r="E847" s="1"/>
      <c r="F847" s="1"/>
      <c r="G847" s="1"/>
      <c r="H847" s="1"/>
      <c r="I847" s="1"/>
      <c r="J847" s="1"/>
      <c r="K847" s="1"/>
      <c r="L847" s="1"/>
    </row>
    <row r="848">
      <c r="B848" s="1"/>
      <c r="C848" s="1"/>
      <c r="D848" s="1"/>
      <c r="E848" s="1"/>
      <c r="F848" s="1"/>
      <c r="G848" s="1"/>
      <c r="H848" s="1"/>
      <c r="I848" s="1"/>
      <c r="J848" s="1"/>
      <c r="K848" s="1"/>
      <c r="L848" s="1"/>
    </row>
    <row r="849">
      <c r="B849" s="1"/>
      <c r="C849" s="1"/>
      <c r="D849" s="1"/>
      <c r="E849" s="1"/>
      <c r="F849" s="1"/>
      <c r="G849" s="1"/>
      <c r="H849" s="1"/>
      <c r="I849" s="1"/>
      <c r="J849" s="1"/>
      <c r="K849" s="1"/>
      <c r="L849" s="1"/>
    </row>
    <row r="850">
      <c r="B850" s="1"/>
      <c r="C850" s="1"/>
      <c r="D850" s="1"/>
      <c r="E850" s="1"/>
      <c r="F850" s="1"/>
      <c r="G850" s="1"/>
      <c r="H850" s="1"/>
      <c r="I850" s="1"/>
      <c r="J850" s="1"/>
      <c r="K850" s="1"/>
      <c r="L850" s="1"/>
    </row>
    <row r="851">
      <c r="B851" s="1"/>
      <c r="C851" s="1"/>
      <c r="D851" s="1"/>
      <c r="E851" s="1"/>
      <c r="F851" s="1"/>
      <c r="G851" s="1"/>
      <c r="H851" s="1"/>
      <c r="I851" s="1"/>
      <c r="J851" s="1"/>
      <c r="K851" s="1"/>
      <c r="L851" s="1"/>
    </row>
    <row r="852">
      <c r="B852" s="1"/>
      <c r="C852" s="1"/>
      <c r="D852" s="1"/>
      <c r="E852" s="1"/>
      <c r="F852" s="1"/>
      <c r="G852" s="1"/>
      <c r="H852" s="1"/>
      <c r="I852" s="1"/>
      <c r="J852" s="1"/>
      <c r="K852" s="1"/>
      <c r="L852" s="1"/>
    </row>
    <row r="853">
      <c r="B853" s="1"/>
      <c r="C853" s="1"/>
      <c r="D853" s="1"/>
      <c r="E853" s="1"/>
      <c r="F853" s="1"/>
      <c r="G853" s="1"/>
      <c r="H853" s="1"/>
      <c r="I853" s="1"/>
      <c r="J853" s="1"/>
      <c r="K853" s="1"/>
      <c r="L853" s="1"/>
    </row>
    <row r="854">
      <c r="B854" s="1"/>
      <c r="C854" s="1"/>
      <c r="D854" s="1"/>
      <c r="E854" s="1"/>
      <c r="F854" s="1"/>
      <c r="G854" s="1"/>
      <c r="H854" s="1"/>
      <c r="I854" s="1"/>
      <c r="J854" s="1"/>
      <c r="K854" s="1"/>
      <c r="L854" s="1"/>
    </row>
    <row r="855">
      <c r="B855" s="1"/>
      <c r="C855" s="1"/>
      <c r="D855" s="1"/>
      <c r="E855" s="1"/>
      <c r="F855" s="1"/>
      <c r="G855" s="1"/>
      <c r="H855" s="1"/>
      <c r="I855" s="1"/>
      <c r="J855" s="1"/>
      <c r="K855" s="1"/>
      <c r="L855" s="1"/>
    </row>
    <row r="856">
      <c r="B856" s="1"/>
      <c r="C856" s="1"/>
      <c r="D856" s="1"/>
      <c r="E856" s="1"/>
      <c r="F856" s="1"/>
      <c r="G856" s="1"/>
      <c r="H856" s="1"/>
      <c r="I856" s="1"/>
      <c r="J856" s="1"/>
      <c r="K856" s="1"/>
      <c r="L856" s="1"/>
    </row>
    <row r="857">
      <c r="B857" s="1"/>
      <c r="C857" s="1"/>
      <c r="D857" s="1"/>
      <c r="E857" s="1"/>
      <c r="F857" s="1"/>
      <c r="G857" s="1"/>
      <c r="H857" s="1"/>
      <c r="I857" s="1"/>
      <c r="J857" s="1"/>
      <c r="K857" s="1"/>
      <c r="L857" s="1"/>
    </row>
    <row r="858">
      <c r="B858" s="1"/>
      <c r="C858" s="1"/>
      <c r="D858" s="1"/>
      <c r="E858" s="1"/>
      <c r="F858" s="1"/>
      <c r="G858" s="1"/>
      <c r="H858" s="1"/>
      <c r="I858" s="1"/>
      <c r="J858" s="1"/>
      <c r="K858" s="1"/>
      <c r="L858" s="1"/>
    </row>
    <row r="859">
      <c r="B859" s="1"/>
      <c r="C859" s="1"/>
      <c r="D859" s="1"/>
      <c r="E859" s="1"/>
      <c r="F859" s="1"/>
      <c r="G859" s="1"/>
      <c r="H859" s="1"/>
      <c r="I859" s="1"/>
      <c r="J859" s="1"/>
      <c r="K859" s="1"/>
      <c r="L859" s="1"/>
    </row>
    <row r="860">
      <c r="B860" s="1"/>
      <c r="C860" s="1"/>
      <c r="D860" s="1"/>
      <c r="E860" s="1"/>
      <c r="F860" s="1"/>
      <c r="G860" s="1"/>
      <c r="H860" s="1"/>
      <c r="I860" s="1"/>
      <c r="J860" s="1"/>
      <c r="K860" s="1"/>
      <c r="L860" s="1"/>
    </row>
    <row r="861">
      <c r="B861" s="1"/>
      <c r="C861" s="1"/>
      <c r="D861" s="1"/>
      <c r="E861" s="1"/>
      <c r="F861" s="1"/>
      <c r="G861" s="1"/>
      <c r="H861" s="1"/>
      <c r="I861" s="1"/>
      <c r="J861" s="1"/>
      <c r="K861" s="1"/>
      <c r="L861" s="1"/>
    </row>
    <row r="862">
      <c r="B862" s="1"/>
      <c r="C862" s="1"/>
      <c r="D862" s="1"/>
      <c r="E862" s="1"/>
      <c r="F862" s="1"/>
      <c r="G862" s="1"/>
      <c r="H862" s="1"/>
      <c r="I862" s="1"/>
      <c r="J862" s="1"/>
      <c r="K862" s="1"/>
      <c r="L862" s="1"/>
    </row>
    <row r="863">
      <c r="B863" s="1"/>
      <c r="C863" s="1"/>
      <c r="D863" s="1"/>
      <c r="E863" s="1"/>
      <c r="F863" s="1"/>
      <c r="G863" s="1"/>
      <c r="H863" s="1"/>
      <c r="I863" s="1"/>
      <c r="J863" s="1"/>
      <c r="K863" s="1"/>
      <c r="L863" s="1"/>
    </row>
    <row r="864">
      <c r="B864" s="1"/>
      <c r="C864" s="1"/>
      <c r="D864" s="1"/>
      <c r="E864" s="1"/>
      <c r="F864" s="1"/>
      <c r="G864" s="1"/>
      <c r="H864" s="1"/>
      <c r="I864" s="1"/>
      <c r="J864" s="1"/>
      <c r="K864" s="1"/>
      <c r="L864" s="1"/>
    </row>
    <row r="865">
      <c r="B865" s="1"/>
      <c r="C865" s="1"/>
      <c r="D865" s="1"/>
      <c r="E865" s="1"/>
      <c r="F865" s="1"/>
      <c r="G865" s="1"/>
      <c r="H865" s="1"/>
      <c r="I865" s="1"/>
      <c r="J865" s="1"/>
      <c r="K865" s="1"/>
      <c r="L865" s="1"/>
    </row>
    <row r="866">
      <c r="B866" s="1"/>
      <c r="C866" s="1"/>
      <c r="D866" s="1"/>
      <c r="E866" s="1"/>
      <c r="F866" s="1"/>
      <c r="G866" s="1"/>
      <c r="H866" s="1"/>
      <c r="I866" s="1"/>
      <c r="J866" s="1"/>
      <c r="K866" s="1"/>
      <c r="L866" s="1"/>
    </row>
    <row r="867">
      <c r="B867" s="1"/>
      <c r="C867" s="1"/>
      <c r="D867" s="1"/>
      <c r="E867" s="1"/>
      <c r="F867" s="1"/>
      <c r="G867" s="1"/>
      <c r="H867" s="1"/>
      <c r="I867" s="1"/>
      <c r="J867" s="1"/>
      <c r="K867" s="1"/>
      <c r="L867" s="1"/>
    </row>
    <row r="868">
      <c r="B868" s="1"/>
      <c r="C868" s="1"/>
      <c r="D868" s="1"/>
      <c r="E868" s="1"/>
      <c r="F868" s="1"/>
      <c r="G868" s="1"/>
      <c r="H868" s="1"/>
      <c r="I868" s="1"/>
      <c r="J868" s="1"/>
      <c r="K868" s="1"/>
      <c r="L868" s="1"/>
    </row>
    <row r="869">
      <c r="B869" s="1"/>
      <c r="C869" s="1"/>
      <c r="D869" s="1"/>
      <c r="E869" s="1"/>
      <c r="F869" s="1"/>
      <c r="G869" s="1"/>
      <c r="H869" s="1"/>
      <c r="I869" s="1"/>
      <c r="J869" s="1"/>
      <c r="K869" s="1"/>
      <c r="L869" s="1"/>
    </row>
    <row r="870">
      <c r="B870" s="1"/>
      <c r="C870" s="1"/>
      <c r="D870" s="1"/>
      <c r="E870" s="1"/>
      <c r="F870" s="1"/>
      <c r="G870" s="1"/>
      <c r="H870" s="1"/>
      <c r="I870" s="1"/>
      <c r="J870" s="1"/>
      <c r="K870" s="1"/>
      <c r="L870" s="1"/>
    </row>
    <row r="871">
      <c r="B871" s="1"/>
      <c r="C871" s="1"/>
      <c r="D871" s="1"/>
      <c r="E871" s="1"/>
      <c r="F871" s="1"/>
      <c r="G871" s="1"/>
      <c r="H871" s="1"/>
      <c r="I871" s="1"/>
      <c r="J871" s="1"/>
      <c r="K871" s="1"/>
      <c r="L871" s="1"/>
    </row>
    <row r="872">
      <c r="B872" s="1"/>
      <c r="C872" s="1"/>
      <c r="D872" s="1"/>
      <c r="E872" s="1"/>
      <c r="F872" s="1"/>
      <c r="G872" s="1"/>
      <c r="H872" s="1"/>
      <c r="I872" s="1"/>
      <c r="J872" s="1"/>
      <c r="K872" s="1"/>
      <c r="L872" s="1"/>
    </row>
    <row r="873">
      <c r="B873" s="1"/>
      <c r="C873" s="1"/>
      <c r="D873" s="1"/>
      <c r="E873" s="1"/>
      <c r="F873" s="1"/>
      <c r="G873" s="1"/>
      <c r="H873" s="1"/>
      <c r="I873" s="1"/>
      <c r="J873" s="1"/>
      <c r="K873" s="1"/>
      <c r="L873" s="1"/>
    </row>
    <row r="874">
      <c r="B874" s="1"/>
      <c r="C874" s="1"/>
      <c r="D874" s="1"/>
      <c r="E874" s="1"/>
      <c r="F874" s="1"/>
      <c r="G874" s="1"/>
      <c r="H874" s="1"/>
      <c r="I874" s="1"/>
      <c r="J874" s="1"/>
      <c r="K874" s="1"/>
      <c r="L874" s="1"/>
    </row>
    <row r="875">
      <c r="B875" s="1"/>
      <c r="C875" s="1"/>
      <c r="D875" s="1"/>
      <c r="E875" s="1"/>
      <c r="F875" s="1"/>
      <c r="G875" s="1"/>
      <c r="H875" s="1"/>
      <c r="I875" s="1"/>
      <c r="J875" s="1"/>
      <c r="K875" s="1"/>
      <c r="L875" s="1"/>
    </row>
    <row r="876">
      <c r="B876" s="1"/>
      <c r="C876" s="1"/>
      <c r="D876" s="1"/>
      <c r="E876" s="1"/>
      <c r="F876" s="1"/>
      <c r="G876" s="1"/>
      <c r="H876" s="1"/>
      <c r="I876" s="1"/>
      <c r="J876" s="1"/>
      <c r="K876" s="1"/>
      <c r="L876" s="1"/>
    </row>
    <row r="877">
      <c r="B877" s="1"/>
      <c r="C877" s="1"/>
      <c r="D877" s="1"/>
      <c r="E877" s="1"/>
      <c r="F877" s="1"/>
      <c r="G877" s="1"/>
      <c r="H877" s="1"/>
      <c r="I877" s="1"/>
      <c r="J877" s="1"/>
      <c r="K877" s="1"/>
      <c r="L877" s="1"/>
    </row>
    <row r="878">
      <c r="B878" s="1"/>
      <c r="C878" s="1"/>
      <c r="D878" s="1"/>
      <c r="E878" s="1"/>
      <c r="F878" s="1"/>
      <c r="G878" s="1"/>
      <c r="H878" s="1"/>
      <c r="I878" s="1"/>
      <c r="J878" s="1"/>
      <c r="K878" s="1"/>
      <c r="L878" s="1"/>
    </row>
    <row r="879">
      <c r="B879" s="1"/>
      <c r="C879" s="1"/>
      <c r="D879" s="1"/>
      <c r="E879" s="1"/>
      <c r="F879" s="1"/>
      <c r="G879" s="1"/>
      <c r="H879" s="1"/>
      <c r="I879" s="1"/>
      <c r="J879" s="1"/>
      <c r="K879" s="1"/>
      <c r="L879" s="1"/>
    </row>
    <row r="880">
      <c r="B880" s="1"/>
      <c r="C880" s="1"/>
      <c r="D880" s="1"/>
      <c r="E880" s="1"/>
      <c r="F880" s="1"/>
      <c r="G880" s="1"/>
      <c r="H880" s="1"/>
      <c r="I880" s="1"/>
      <c r="J880" s="1"/>
      <c r="K880" s="1"/>
      <c r="L880" s="1"/>
    </row>
    <row r="881">
      <c r="B881" s="1"/>
      <c r="C881" s="1"/>
      <c r="D881" s="1"/>
      <c r="E881" s="1"/>
      <c r="F881" s="1"/>
      <c r="G881" s="1"/>
      <c r="H881" s="1"/>
      <c r="I881" s="1"/>
      <c r="J881" s="1"/>
      <c r="K881" s="1"/>
      <c r="L881" s="1"/>
    </row>
    <row r="882">
      <c r="B882" s="1"/>
      <c r="C882" s="1"/>
      <c r="D882" s="1"/>
      <c r="E882" s="1"/>
      <c r="F882" s="1"/>
      <c r="G882" s="1"/>
      <c r="H882" s="1"/>
      <c r="I882" s="1"/>
      <c r="J882" s="1"/>
      <c r="K882" s="1"/>
      <c r="L882" s="1"/>
    </row>
    <row r="883">
      <c r="B883" s="1"/>
      <c r="C883" s="1"/>
      <c r="D883" s="1"/>
      <c r="E883" s="1"/>
      <c r="F883" s="1"/>
      <c r="G883" s="1"/>
      <c r="H883" s="1"/>
      <c r="I883" s="1"/>
      <c r="J883" s="1"/>
      <c r="K883" s="1"/>
      <c r="L883" s="1"/>
    </row>
    <row r="884">
      <c r="B884" s="1"/>
      <c r="C884" s="1"/>
      <c r="D884" s="1"/>
      <c r="E884" s="1"/>
      <c r="F884" s="1"/>
      <c r="G884" s="1"/>
      <c r="H884" s="1"/>
      <c r="I884" s="1"/>
      <c r="J884" s="1"/>
      <c r="K884" s="1"/>
      <c r="L884" s="1"/>
    </row>
    <row r="885">
      <c r="B885" s="1"/>
      <c r="C885" s="1"/>
      <c r="D885" s="1"/>
      <c r="E885" s="1"/>
      <c r="F885" s="1"/>
      <c r="G885" s="1"/>
      <c r="H885" s="1"/>
      <c r="I885" s="1"/>
      <c r="J885" s="1"/>
      <c r="K885" s="1"/>
      <c r="L885" s="1"/>
    </row>
    <row r="886">
      <c r="B886" s="1"/>
      <c r="C886" s="1"/>
      <c r="D886" s="1"/>
      <c r="E886" s="1"/>
      <c r="F886" s="1"/>
      <c r="G886" s="1"/>
      <c r="H886" s="1"/>
      <c r="I886" s="1"/>
      <c r="J886" s="1"/>
      <c r="K886" s="1"/>
      <c r="L886" s="1"/>
    </row>
    <row r="887">
      <c r="B887" s="1"/>
      <c r="C887" s="1"/>
      <c r="D887" s="1"/>
      <c r="E887" s="1"/>
      <c r="F887" s="1"/>
      <c r="G887" s="1"/>
      <c r="H887" s="1"/>
      <c r="I887" s="1"/>
      <c r="J887" s="1"/>
      <c r="K887" s="1"/>
      <c r="L887" s="1"/>
    </row>
    <row r="888">
      <c r="B888" s="1"/>
      <c r="C888" s="1"/>
      <c r="D888" s="1"/>
      <c r="E888" s="1"/>
      <c r="F888" s="1"/>
      <c r="G888" s="1"/>
      <c r="H888" s="1"/>
      <c r="I888" s="1"/>
      <c r="J888" s="1"/>
      <c r="K888" s="1"/>
      <c r="L888" s="1"/>
    </row>
    <row r="889">
      <c r="B889" s="1"/>
      <c r="C889" s="1"/>
      <c r="D889" s="1"/>
      <c r="E889" s="1"/>
      <c r="F889" s="1"/>
      <c r="G889" s="1"/>
      <c r="H889" s="1"/>
      <c r="I889" s="1"/>
      <c r="J889" s="1"/>
      <c r="K889" s="1"/>
      <c r="L889" s="1"/>
    </row>
    <row r="890">
      <c r="B890" s="1"/>
      <c r="C890" s="1"/>
      <c r="D890" s="1"/>
      <c r="E890" s="1"/>
      <c r="F890" s="1"/>
      <c r="G890" s="1"/>
      <c r="H890" s="1"/>
      <c r="I890" s="1"/>
      <c r="J890" s="1"/>
      <c r="K890" s="1"/>
      <c r="L890" s="1"/>
    </row>
    <row r="891">
      <c r="B891" s="1"/>
      <c r="C891" s="1"/>
      <c r="D891" s="1"/>
      <c r="E891" s="1"/>
      <c r="F891" s="1"/>
      <c r="G891" s="1"/>
      <c r="H891" s="1"/>
      <c r="I891" s="1"/>
      <c r="J891" s="1"/>
      <c r="K891" s="1"/>
      <c r="L891" s="1"/>
    </row>
    <row r="892">
      <c r="B892" s="1"/>
      <c r="C892" s="1"/>
      <c r="D892" s="1"/>
      <c r="E892" s="1"/>
      <c r="F892" s="1"/>
      <c r="G892" s="1"/>
      <c r="H892" s="1"/>
      <c r="I892" s="1"/>
      <c r="J892" s="1"/>
      <c r="K892" s="1"/>
      <c r="L892" s="1"/>
    </row>
    <row r="893">
      <c r="B893" s="1"/>
      <c r="C893" s="1"/>
      <c r="D893" s="1"/>
      <c r="E893" s="1"/>
      <c r="F893" s="1"/>
      <c r="G893" s="1"/>
      <c r="H893" s="1"/>
      <c r="I893" s="1"/>
      <c r="J893" s="1"/>
      <c r="K893" s="1"/>
      <c r="L893" s="1"/>
    </row>
    <row r="894">
      <c r="B894" s="1"/>
      <c r="C894" s="1"/>
      <c r="D894" s="1"/>
      <c r="E894" s="1"/>
      <c r="F894" s="1"/>
      <c r="G894" s="1"/>
      <c r="H894" s="1"/>
      <c r="I894" s="1"/>
      <c r="J894" s="1"/>
      <c r="K894" s="1"/>
      <c r="L894" s="1"/>
    </row>
    <row r="895">
      <c r="B895" s="1"/>
      <c r="C895" s="1"/>
      <c r="D895" s="1"/>
      <c r="E895" s="1"/>
      <c r="F895" s="1"/>
      <c r="G895" s="1"/>
      <c r="H895" s="1"/>
      <c r="I895" s="1"/>
      <c r="J895" s="1"/>
      <c r="K895" s="1"/>
      <c r="L895" s="1"/>
    </row>
    <row r="896">
      <c r="B896" s="1"/>
      <c r="C896" s="1"/>
      <c r="D896" s="1"/>
      <c r="E896" s="1"/>
      <c r="F896" s="1"/>
      <c r="G896" s="1"/>
      <c r="H896" s="1"/>
      <c r="I896" s="1"/>
      <c r="J896" s="1"/>
      <c r="K896" s="1"/>
      <c r="L896" s="1"/>
    </row>
    <row r="897">
      <c r="B897" s="1"/>
      <c r="C897" s="1"/>
      <c r="D897" s="1"/>
      <c r="E897" s="1"/>
      <c r="F897" s="1"/>
      <c r="G897" s="1"/>
      <c r="H897" s="1"/>
      <c r="I897" s="1"/>
      <c r="J897" s="1"/>
      <c r="K897" s="1"/>
      <c r="L897" s="1"/>
    </row>
    <row r="898">
      <c r="B898" s="1"/>
      <c r="C898" s="1"/>
      <c r="D898" s="1"/>
      <c r="E898" s="1"/>
      <c r="F898" s="1"/>
      <c r="G898" s="1"/>
      <c r="H898" s="1"/>
      <c r="I898" s="1"/>
      <c r="J898" s="1"/>
      <c r="K898" s="1"/>
      <c r="L898" s="1"/>
    </row>
    <row r="899">
      <c r="B899" s="1"/>
      <c r="C899" s="1"/>
      <c r="D899" s="1"/>
      <c r="E899" s="1"/>
      <c r="F899" s="1"/>
      <c r="G899" s="1"/>
      <c r="H899" s="1"/>
      <c r="I899" s="1"/>
      <c r="J899" s="1"/>
      <c r="K899" s="1"/>
      <c r="L899" s="1"/>
    </row>
    <row r="900">
      <c r="B900" s="1"/>
      <c r="C900" s="1"/>
      <c r="D900" s="1"/>
      <c r="E900" s="1"/>
      <c r="F900" s="1"/>
      <c r="G900" s="1"/>
      <c r="H900" s="1"/>
      <c r="I900" s="1"/>
      <c r="J900" s="1"/>
      <c r="K900" s="1"/>
      <c r="L900" s="1"/>
    </row>
    <row r="901">
      <c r="B901" s="1"/>
      <c r="C901" s="1"/>
      <c r="D901" s="1"/>
      <c r="E901" s="1"/>
      <c r="F901" s="1"/>
      <c r="G901" s="1"/>
      <c r="H901" s="1"/>
      <c r="I901" s="1"/>
      <c r="J901" s="1"/>
      <c r="K901" s="1"/>
      <c r="L901" s="1"/>
    </row>
    <row r="902">
      <c r="B902" s="1"/>
      <c r="C902" s="1"/>
      <c r="D902" s="1"/>
      <c r="E902" s="1"/>
      <c r="F902" s="1"/>
      <c r="G902" s="1"/>
      <c r="H902" s="1"/>
      <c r="I902" s="1"/>
      <c r="J902" s="1"/>
      <c r="K902" s="1"/>
      <c r="L902" s="1"/>
    </row>
    <row r="903">
      <c r="B903" s="1"/>
      <c r="C903" s="1"/>
      <c r="D903" s="1"/>
      <c r="E903" s="1"/>
      <c r="F903" s="1"/>
      <c r="G903" s="1"/>
      <c r="H903" s="1"/>
      <c r="I903" s="1"/>
      <c r="J903" s="1"/>
      <c r="K903" s="1"/>
      <c r="L903" s="1"/>
    </row>
    <row r="904">
      <c r="B904" s="1"/>
      <c r="C904" s="1"/>
      <c r="D904" s="1"/>
      <c r="E904" s="1"/>
      <c r="F904" s="1"/>
      <c r="G904" s="1"/>
      <c r="H904" s="1"/>
      <c r="I904" s="1"/>
      <c r="J904" s="1"/>
      <c r="K904" s="1"/>
      <c r="L904" s="1"/>
    </row>
    <row r="905">
      <c r="B905" s="1"/>
      <c r="C905" s="1"/>
      <c r="D905" s="1"/>
      <c r="E905" s="1"/>
      <c r="F905" s="1"/>
      <c r="G905" s="1"/>
      <c r="H905" s="1"/>
      <c r="I905" s="1"/>
      <c r="J905" s="1"/>
      <c r="K905" s="1"/>
      <c r="L905" s="1"/>
    </row>
    <row r="906">
      <c r="B906" s="1"/>
      <c r="C906" s="1"/>
      <c r="D906" s="1"/>
      <c r="E906" s="1"/>
      <c r="F906" s="1"/>
      <c r="G906" s="1"/>
      <c r="H906" s="1"/>
      <c r="I906" s="1"/>
      <c r="J906" s="1"/>
      <c r="K906" s="1"/>
      <c r="L906" s="1"/>
    </row>
    <row r="907">
      <c r="B907" s="1"/>
      <c r="C907" s="1"/>
      <c r="D907" s="1"/>
      <c r="E907" s="1"/>
      <c r="F907" s="1"/>
      <c r="G907" s="1"/>
      <c r="H907" s="1"/>
      <c r="I907" s="1"/>
      <c r="J907" s="1"/>
      <c r="K907" s="1"/>
      <c r="L907" s="1"/>
    </row>
    <row r="908">
      <c r="B908" s="1"/>
      <c r="C908" s="1"/>
      <c r="D908" s="1"/>
      <c r="E908" s="1"/>
      <c r="F908" s="1"/>
      <c r="G908" s="1"/>
      <c r="H908" s="1"/>
      <c r="I908" s="1"/>
      <c r="J908" s="1"/>
      <c r="K908" s="1"/>
      <c r="L908" s="1"/>
    </row>
    <row r="909">
      <c r="B909" s="1"/>
      <c r="C909" s="1"/>
      <c r="D909" s="1"/>
      <c r="E909" s="1"/>
      <c r="F909" s="1"/>
      <c r="G909" s="1"/>
      <c r="H909" s="1"/>
      <c r="I909" s="1"/>
      <c r="J909" s="1"/>
      <c r="K909" s="1"/>
      <c r="L909" s="1"/>
    </row>
    <row r="910">
      <c r="B910" s="1"/>
      <c r="C910" s="1"/>
      <c r="D910" s="1"/>
      <c r="E910" s="1"/>
      <c r="F910" s="1"/>
      <c r="G910" s="1"/>
      <c r="H910" s="1"/>
      <c r="I910" s="1"/>
      <c r="J910" s="1"/>
      <c r="K910" s="1"/>
      <c r="L910" s="1"/>
    </row>
    <row r="911">
      <c r="B911" s="1"/>
      <c r="C911" s="1"/>
      <c r="D911" s="1"/>
      <c r="E911" s="1"/>
      <c r="F911" s="1"/>
      <c r="G911" s="1"/>
      <c r="H911" s="1"/>
      <c r="I911" s="1"/>
      <c r="J911" s="1"/>
      <c r="K911" s="1"/>
      <c r="L911" s="1"/>
    </row>
    <row r="912">
      <c r="B912" s="1"/>
      <c r="C912" s="1"/>
      <c r="D912" s="1"/>
      <c r="E912" s="1"/>
      <c r="F912" s="1"/>
      <c r="G912" s="1"/>
      <c r="H912" s="1"/>
      <c r="I912" s="1"/>
      <c r="J912" s="1"/>
      <c r="K912" s="1"/>
      <c r="L912" s="1"/>
    </row>
    <row r="913">
      <c r="B913" s="1"/>
      <c r="C913" s="1"/>
      <c r="D913" s="1"/>
      <c r="E913" s="1"/>
      <c r="F913" s="1"/>
      <c r="G913" s="1"/>
      <c r="H913" s="1"/>
      <c r="I913" s="1"/>
      <c r="J913" s="1"/>
      <c r="K913" s="1"/>
      <c r="L913" s="1"/>
    </row>
    <row r="914">
      <c r="B914" s="1"/>
      <c r="C914" s="1"/>
      <c r="D914" s="1"/>
      <c r="E914" s="1"/>
      <c r="F914" s="1"/>
      <c r="G914" s="1"/>
      <c r="H914" s="1"/>
      <c r="I914" s="1"/>
      <c r="J914" s="1"/>
      <c r="K914" s="1"/>
      <c r="L914" s="1"/>
    </row>
    <row r="915">
      <c r="B915" s="1"/>
      <c r="C915" s="1"/>
      <c r="D915" s="1"/>
      <c r="E915" s="1"/>
      <c r="F915" s="1"/>
      <c r="G915" s="1"/>
      <c r="H915" s="1"/>
      <c r="I915" s="1"/>
      <c r="J915" s="1"/>
      <c r="K915" s="1"/>
      <c r="L915" s="1"/>
    </row>
    <row r="916">
      <c r="B916" s="1"/>
      <c r="C916" s="1"/>
      <c r="D916" s="1"/>
      <c r="E916" s="1"/>
      <c r="F916" s="1"/>
      <c r="G916" s="1"/>
      <c r="H916" s="1"/>
      <c r="I916" s="1"/>
      <c r="J916" s="1"/>
      <c r="K916" s="1"/>
      <c r="L916" s="1"/>
    </row>
    <row r="917">
      <c r="B917" s="1"/>
      <c r="C917" s="1"/>
      <c r="D917" s="1"/>
      <c r="E917" s="1"/>
      <c r="F917" s="1"/>
      <c r="G917" s="1"/>
      <c r="H917" s="1"/>
      <c r="I917" s="1"/>
      <c r="J917" s="1"/>
      <c r="K917" s="1"/>
      <c r="L917" s="1"/>
    </row>
    <row r="918">
      <c r="B918" s="1"/>
      <c r="C918" s="1"/>
      <c r="D918" s="1"/>
      <c r="E918" s="1"/>
      <c r="F918" s="1"/>
      <c r="G918" s="1"/>
      <c r="H918" s="1"/>
      <c r="I918" s="1"/>
      <c r="J918" s="1"/>
      <c r="K918" s="1"/>
      <c r="L918" s="1"/>
    </row>
    <row r="919">
      <c r="B919" s="1"/>
      <c r="C919" s="1"/>
      <c r="D919" s="1"/>
      <c r="E919" s="1"/>
      <c r="F919" s="1"/>
      <c r="G919" s="1"/>
      <c r="H919" s="1"/>
      <c r="I919" s="1"/>
      <c r="J919" s="1"/>
      <c r="K919" s="1"/>
      <c r="L919" s="1"/>
    </row>
    <row r="920">
      <c r="B920" s="1"/>
      <c r="C920" s="1"/>
      <c r="D920" s="1"/>
      <c r="E920" s="1"/>
      <c r="F920" s="1"/>
      <c r="G920" s="1"/>
      <c r="H920" s="1"/>
      <c r="I920" s="1"/>
      <c r="J920" s="1"/>
      <c r="K920" s="1"/>
      <c r="L920" s="1"/>
    </row>
    <row r="921">
      <c r="B921" s="1"/>
      <c r="C921" s="1"/>
      <c r="D921" s="1"/>
      <c r="E921" s="1"/>
      <c r="F921" s="1"/>
      <c r="G921" s="1"/>
      <c r="H921" s="1"/>
      <c r="I921" s="1"/>
      <c r="J921" s="1"/>
      <c r="K921" s="1"/>
      <c r="L921" s="1"/>
    </row>
    <row r="922">
      <c r="B922" s="1"/>
      <c r="C922" s="1"/>
      <c r="D922" s="1"/>
      <c r="E922" s="1"/>
      <c r="F922" s="1"/>
      <c r="G922" s="1"/>
      <c r="H922" s="1"/>
      <c r="I922" s="1"/>
      <c r="J922" s="1"/>
      <c r="K922" s="1"/>
      <c r="L922" s="1"/>
    </row>
    <row r="923">
      <c r="B923" s="1"/>
      <c r="C923" s="1"/>
      <c r="D923" s="1"/>
      <c r="E923" s="1"/>
      <c r="F923" s="1"/>
      <c r="G923" s="1"/>
      <c r="H923" s="1"/>
      <c r="I923" s="1"/>
      <c r="J923" s="1"/>
      <c r="K923" s="1"/>
      <c r="L923" s="1"/>
    </row>
    <row r="924">
      <c r="B924" s="1"/>
      <c r="C924" s="1"/>
      <c r="D924" s="1"/>
      <c r="E924" s="1"/>
      <c r="F924" s="1"/>
      <c r="G924" s="1"/>
      <c r="H924" s="1"/>
      <c r="I924" s="1"/>
      <c r="J924" s="1"/>
      <c r="K924" s="1"/>
      <c r="L924" s="1"/>
    </row>
    <row r="925">
      <c r="B925" s="1"/>
      <c r="C925" s="1"/>
      <c r="D925" s="1"/>
      <c r="E925" s="1"/>
      <c r="F925" s="1"/>
      <c r="G925" s="1"/>
      <c r="H925" s="1"/>
      <c r="I925" s="1"/>
      <c r="J925" s="1"/>
      <c r="K925" s="1"/>
      <c r="L925" s="1"/>
    </row>
    <row r="926">
      <c r="B926" s="1"/>
      <c r="C926" s="1"/>
      <c r="D926" s="1"/>
      <c r="E926" s="1"/>
      <c r="F926" s="1"/>
      <c r="G926" s="1"/>
      <c r="H926" s="1"/>
      <c r="I926" s="1"/>
      <c r="J926" s="1"/>
      <c r="K926" s="1"/>
      <c r="L926" s="1"/>
    </row>
    <row r="927">
      <c r="B927" s="1"/>
      <c r="C927" s="1"/>
      <c r="D927" s="1"/>
      <c r="E927" s="1"/>
      <c r="F927" s="1"/>
      <c r="G927" s="1"/>
      <c r="H927" s="1"/>
      <c r="I927" s="1"/>
      <c r="J927" s="1"/>
      <c r="K927" s="1"/>
      <c r="L927" s="1"/>
    </row>
    <row r="928">
      <c r="B928" s="1"/>
      <c r="C928" s="1"/>
      <c r="D928" s="1"/>
      <c r="E928" s="1"/>
      <c r="F928" s="1"/>
      <c r="G928" s="1"/>
      <c r="H928" s="1"/>
      <c r="I928" s="1"/>
      <c r="J928" s="1"/>
      <c r="K928" s="1"/>
      <c r="L928" s="1"/>
    </row>
    <row r="929">
      <c r="B929" s="1"/>
      <c r="C929" s="1"/>
      <c r="D929" s="1"/>
      <c r="E929" s="1"/>
      <c r="F929" s="1"/>
      <c r="G929" s="1"/>
      <c r="H929" s="1"/>
      <c r="I929" s="1"/>
      <c r="J929" s="1"/>
      <c r="K929" s="1"/>
      <c r="L929" s="1"/>
    </row>
    <row r="930">
      <c r="B930" s="1"/>
      <c r="C930" s="1"/>
      <c r="D930" s="1"/>
      <c r="E930" s="1"/>
      <c r="F930" s="1"/>
      <c r="G930" s="1"/>
      <c r="H930" s="1"/>
      <c r="I930" s="1"/>
      <c r="J930" s="1"/>
      <c r="K930" s="1"/>
      <c r="L930" s="1"/>
    </row>
    <row r="931">
      <c r="B931" s="1"/>
      <c r="C931" s="1"/>
      <c r="D931" s="1"/>
      <c r="E931" s="1"/>
      <c r="F931" s="1"/>
      <c r="G931" s="1"/>
      <c r="H931" s="1"/>
      <c r="I931" s="1"/>
      <c r="J931" s="1"/>
      <c r="K931" s="1"/>
      <c r="L931" s="1"/>
    </row>
    <row r="932">
      <c r="B932" s="1"/>
      <c r="C932" s="1"/>
      <c r="D932" s="1"/>
      <c r="E932" s="1"/>
      <c r="F932" s="1"/>
      <c r="G932" s="1"/>
      <c r="H932" s="1"/>
      <c r="I932" s="1"/>
      <c r="J932" s="1"/>
      <c r="K932" s="1"/>
      <c r="L932" s="1"/>
    </row>
    <row r="933">
      <c r="B933" s="1"/>
      <c r="C933" s="1"/>
      <c r="D933" s="1"/>
      <c r="E933" s="1"/>
      <c r="F933" s="1"/>
      <c r="G933" s="1"/>
      <c r="H933" s="1"/>
      <c r="I933" s="1"/>
      <c r="J933" s="1"/>
      <c r="K933" s="1"/>
      <c r="L933" s="1"/>
    </row>
    <row r="934">
      <c r="B934" s="1"/>
      <c r="C934" s="1"/>
      <c r="D934" s="1"/>
      <c r="E934" s="1"/>
      <c r="F934" s="1"/>
      <c r="G934" s="1"/>
      <c r="H934" s="1"/>
      <c r="I934" s="1"/>
      <c r="J934" s="1"/>
      <c r="K934" s="1"/>
      <c r="L934" s="1"/>
    </row>
    <row r="935">
      <c r="B935" s="1"/>
      <c r="C935" s="1"/>
      <c r="D935" s="1"/>
      <c r="E935" s="1"/>
      <c r="F935" s="1"/>
      <c r="G935" s="1"/>
      <c r="H935" s="1"/>
      <c r="I935" s="1"/>
      <c r="J935" s="1"/>
      <c r="K935" s="1"/>
      <c r="L935" s="1"/>
    </row>
    <row r="936">
      <c r="B936" s="1"/>
      <c r="C936" s="1"/>
      <c r="D936" s="1"/>
      <c r="E936" s="1"/>
      <c r="F936" s="1"/>
      <c r="G936" s="1"/>
      <c r="H936" s="1"/>
      <c r="I936" s="1"/>
      <c r="J936" s="1"/>
      <c r="K936" s="1"/>
      <c r="L936" s="1"/>
    </row>
    <row r="937">
      <c r="B937" s="1"/>
      <c r="C937" s="1"/>
      <c r="D937" s="1"/>
      <c r="E937" s="1"/>
      <c r="F937" s="1"/>
      <c r="G937" s="1"/>
      <c r="H937" s="1"/>
      <c r="I937" s="1"/>
      <c r="J937" s="1"/>
      <c r="K937" s="1"/>
      <c r="L937" s="1"/>
    </row>
    <row r="938">
      <c r="B938" s="1"/>
      <c r="C938" s="1"/>
      <c r="D938" s="1"/>
      <c r="E938" s="1"/>
      <c r="F938" s="1"/>
      <c r="G938" s="1"/>
      <c r="H938" s="1"/>
      <c r="I938" s="1"/>
      <c r="J938" s="1"/>
      <c r="K938" s="1"/>
      <c r="L938" s="1"/>
    </row>
    <row r="939">
      <c r="B939" s="1"/>
      <c r="C939" s="1"/>
      <c r="D939" s="1"/>
      <c r="E939" s="1"/>
      <c r="F939" s="1"/>
      <c r="G939" s="1"/>
      <c r="H939" s="1"/>
      <c r="I939" s="1"/>
      <c r="J939" s="1"/>
      <c r="K939" s="1"/>
      <c r="L939" s="1"/>
    </row>
    <row r="940">
      <c r="B940" s="1"/>
      <c r="C940" s="1"/>
      <c r="D940" s="1"/>
      <c r="E940" s="1"/>
      <c r="F940" s="1"/>
      <c r="G940" s="1"/>
      <c r="H940" s="1"/>
      <c r="I940" s="1"/>
      <c r="J940" s="1"/>
      <c r="K940" s="1"/>
      <c r="L940" s="1"/>
    </row>
    <row r="941">
      <c r="B941" s="1"/>
      <c r="C941" s="1"/>
      <c r="D941" s="1"/>
      <c r="E941" s="1"/>
      <c r="F941" s="1"/>
      <c r="G941" s="1"/>
      <c r="H941" s="1"/>
      <c r="I941" s="1"/>
      <c r="J941" s="1"/>
      <c r="K941" s="1"/>
      <c r="L941" s="1"/>
    </row>
    <row r="942">
      <c r="B942" s="1"/>
      <c r="C942" s="1"/>
      <c r="D942" s="1"/>
      <c r="E942" s="1"/>
      <c r="F942" s="1"/>
      <c r="G942" s="1"/>
      <c r="H942" s="1"/>
      <c r="I942" s="1"/>
      <c r="J942" s="1"/>
      <c r="K942" s="1"/>
      <c r="L942" s="1"/>
    </row>
    <row r="943">
      <c r="B943" s="1"/>
      <c r="C943" s="1"/>
      <c r="D943" s="1"/>
      <c r="E943" s="1"/>
      <c r="F943" s="1"/>
      <c r="G943" s="1"/>
      <c r="H943" s="1"/>
      <c r="I943" s="1"/>
      <c r="J943" s="1"/>
      <c r="K943" s="1"/>
      <c r="L943" s="1"/>
    </row>
    <row r="944">
      <c r="B944" s="1"/>
      <c r="C944" s="1"/>
      <c r="D944" s="1"/>
      <c r="E944" s="1"/>
      <c r="F944" s="1"/>
      <c r="G944" s="1"/>
      <c r="H944" s="1"/>
      <c r="I944" s="1"/>
      <c r="J944" s="1"/>
      <c r="K944" s="1"/>
      <c r="L944" s="1"/>
    </row>
    <row r="945">
      <c r="B945" s="1"/>
      <c r="C945" s="1"/>
      <c r="D945" s="1"/>
      <c r="E945" s="1"/>
      <c r="F945" s="1"/>
      <c r="G945" s="1"/>
      <c r="H945" s="1"/>
      <c r="I945" s="1"/>
      <c r="J945" s="1"/>
      <c r="K945" s="1"/>
      <c r="L945" s="1"/>
    </row>
    <row r="946">
      <c r="B946" s="1"/>
      <c r="C946" s="1"/>
      <c r="D946" s="1"/>
      <c r="E946" s="1"/>
      <c r="F946" s="1"/>
      <c r="G946" s="1"/>
      <c r="H946" s="1"/>
      <c r="I946" s="1"/>
      <c r="J946" s="1"/>
      <c r="K946" s="1"/>
      <c r="L946" s="1"/>
    </row>
    <row r="947">
      <c r="B947" s="1"/>
      <c r="C947" s="1"/>
      <c r="D947" s="1"/>
      <c r="E947" s="1"/>
      <c r="F947" s="1"/>
      <c r="G947" s="1"/>
      <c r="H947" s="1"/>
      <c r="I947" s="1"/>
      <c r="J947" s="1"/>
      <c r="K947" s="1"/>
      <c r="L947" s="1"/>
    </row>
    <row r="948">
      <c r="B948" s="1"/>
      <c r="C948" s="1"/>
      <c r="D948" s="1"/>
      <c r="E948" s="1"/>
      <c r="F948" s="1"/>
      <c r="G948" s="1"/>
      <c r="H948" s="1"/>
      <c r="I948" s="1"/>
      <c r="J948" s="1"/>
      <c r="K948" s="1"/>
      <c r="L948" s="1"/>
    </row>
    <row r="949">
      <c r="B949" s="1"/>
      <c r="C949" s="1"/>
      <c r="D949" s="1"/>
      <c r="E949" s="1"/>
      <c r="F949" s="1"/>
      <c r="G949" s="1"/>
      <c r="H949" s="1"/>
      <c r="I949" s="1"/>
      <c r="J949" s="1"/>
      <c r="K949" s="1"/>
      <c r="L949" s="1"/>
    </row>
    <row r="950">
      <c r="B950" s="1"/>
      <c r="C950" s="1"/>
      <c r="D950" s="1"/>
      <c r="E950" s="1"/>
      <c r="F950" s="1"/>
      <c r="G950" s="1"/>
      <c r="H950" s="1"/>
      <c r="I950" s="1"/>
      <c r="J950" s="1"/>
      <c r="K950" s="1"/>
      <c r="L950" s="1"/>
    </row>
    <row r="951">
      <c r="B951" s="1"/>
      <c r="C951" s="1"/>
      <c r="D951" s="1"/>
      <c r="E951" s="1"/>
      <c r="F951" s="1"/>
      <c r="G951" s="1"/>
      <c r="H951" s="1"/>
      <c r="I951" s="1"/>
      <c r="J951" s="1"/>
      <c r="K951" s="1"/>
      <c r="L951" s="1"/>
    </row>
    <row r="952">
      <c r="B952" s="1"/>
      <c r="C952" s="1"/>
      <c r="D952" s="1"/>
      <c r="E952" s="1"/>
      <c r="F952" s="1"/>
      <c r="G952" s="1"/>
      <c r="H952" s="1"/>
      <c r="I952" s="1"/>
      <c r="J952" s="1"/>
      <c r="K952" s="1"/>
      <c r="L952" s="1"/>
    </row>
    <row r="953">
      <c r="B953" s="1"/>
      <c r="C953" s="1"/>
      <c r="D953" s="1"/>
      <c r="E953" s="1"/>
      <c r="F953" s="1"/>
      <c r="G953" s="1"/>
      <c r="H953" s="1"/>
      <c r="I953" s="1"/>
      <c r="J953" s="1"/>
      <c r="K953" s="1"/>
      <c r="L953" s="1"/>
    </row>
    <row r="954">
      <c r="B954" s="1"/>
      <c r="C954" s="1"/>
      <c r="D954" s="1"/>
      <c r="E954" s="1"/>
      <c r="F954" s="1"/>
      <c r="G954" s="1"/>
      <c r="H954" s="1"/>
      <c r="I954" s="1"/>
      <c r="J954" s="1"/>
      <c r="K954" s="1"/>
      <c r="L954" s="1"/>
    </row>
    <row r="955">
      <c r="B955" s="1"/>
      <c r="C955" s="1"/>
      <c r="D955" s="1"/>
      <c r="E955" s="1"/>
      <c r="F955" s="1"/>
      <c r="G955" s="1"/>
      <c r="H955" s="1"/>
      <c r="I955" s="1"/>
      <c r="J955" s="1"/>
      <c r="K955" s="1"/>
      <c r="L955" s="1"/>
    </row>
    <row r="956">
      <c r="B956" s="1"/>
      <c r="C956" s="1"/>
      <c r="D956" s="1"/>
      <c r="E956" s="1"/>
      <c r="F956" s="1"/>
      <c r="G956" s="1"/>
      <c r="H956" s="1"/>
      <c r="I956" s="1"/>
      <c r="J956" s="1"/>
      <c r="K956" s="1"/>
      <c r="L956" s="1"/>
    </row>
    <row r="957">
      <c r="B957" s="1"/>
      <c r="C957" s="1"/>
      <c r="D957" s="1"/>
      <c r="E957" s="1"/>
      <c r="F957" s="1"/>
      <c r="G957" s="1"/>
      <c r="H957" s="1"/>
      <c r="I957" s="1"/>
      <c r="J957" s="1"/>
      <c r="K957" s="1"/>
      <c r="L957" s="1"/>
    </row>
    <row r="958">
      <c r="B958" s="1"/>
      <c r="C958" s="1"/>
      <c r="D958" s="1"/>
      <c r="E958" s="1"/>
      <c r="F958" s="1"/>
      <c r="G958" s="1"/>
      <c r="H958" s="1"/>
      <c r="I958" s="1"/>
      <c r="J958" s="1"/>
      <c r="K958" s="1"/>
      <c r="L958" s="1"/>
    </row>
    <row r="959">
      <c r="B959" s="1"/>
      <c r="C959" s="1"/>
      <c r="D959" s="1"/>
      <c r="E959" s="1"/>
      <c r="F959" s="1"/>
      <c r="G959" s="1"/>
      <c r="H959" s="1"/>
      <c r="I959" s="1"/>
      <c r="J959" s="1"/>
      <c r="K959" s="1"/>
      <c r="L959" s="1"/>
    </row>
    <row r="960">
      <c r="B960" s="1"/>
      <c r="C960" s="1"/>
      <c r="D960" s="1"/>
      <c r="E960" s="1"/>
      <c r="F960" s="1"/>
      <c r="G960" s="1"/>
      <c r="H960" s="1"/>
      <c r="I960" s="1"/>
      <c r="J960" s="1"/>
      <c r="K960" s="1"/>
      <c r="L960" s="1"/>
    </row>
    <row r="961">
      <c r="B961" s="1"/>
      <c r="C961" s="1"/>
      <c r="D961" s="1"/>
      <c r="E961" s="1"/>
      <c r="F961" s="1"/>
      <c r="G961" s="1"/>
      <c r="H961" s="1"/>
      <c r="I961" s="1"/>
      <c r="J961" s="1"/>
      <c r="K961" s="1"/>
      <c r="L961" s="1"/>
    </row>
    <row r="962">
      <c r="B962" s="1"/>
      <c r="C962" s="1"/>
      <c r="D962" s="1"/>
      <c r="E962" s="1"/>
      <c r="F962" s="1"/>
      <c r="G962" s="1"/>
      <c r="H962" s="1"/>
      <c r="I962" s="1"/>
      <c r="J962" s="1"/>
      <c r="K962" s="1"/>
      <c r="L962" s="1"/>
    </row>
    <row r="963">
      <c r="B963" s="1"/>
      <c r="C963" s="1"/>
      <c r="D963" s="1"/>
      <c r="E963" s="1"/>
      <c r="F963" s="1"/>
      <c r="G963" s="1"/>
      <c r="H963" s="1"/>
      <c r="I963" s="1"/>
      <c r="J963" s="1"/>
      <c r="K963" s="1"/>
      <c r="L963" s="1"/>
    </row>
    <row r="964">
      <c r="B964" s="1"/>
      <c r="C964" s="1"/>
      <c r="D964" s="1"/>
      <c r="E964" s="1"/>
      <c r="F964" s="1"/>
      <c r="G964" s="1"/>
      <c r="H964" s="1"/>
      <c r="I964" s="1"/>
      <c r="J964" s="1"/>
      <c r="K964" s="1"/>
      <c r="L964" s="1"/>
    </row>
    <row r="965">
      <c r="B965" s="1"/>
      <c r="C965" s="1"/>
      <c r="D965" s="1"/>
      <c r="E965" s="1"/>
      <c r="F965" s="1"/>
      <c r="G965" s="1"/>
      <c r="H965" s="1"/>
      <c r="I965" s="1"/>
      <c r="J965" s="1"/>
      <c r="K965" s="1"/>
      <c r="L965" s="1"/>
    </row>
    <row r="966">
      <c r="B966" s="1"/>
      <c r="C966" s="1"/>
      <c r="D966" s="1"/>
      <c r="E966" s="1"/>
      <c r="F966" s="1"/>
      <c r="G966" s="1"/>
      <c r="H966" s="1"/>
      <c r="I966" s="1"/>
      <c r="J966" s="1"/>
      <c r="K966" s="1"/>
      <c r="L966" s="1"/>
    </row>
    <row r="967">
      <c r="B967" s="1"/>
      <c r="C967" s="1"/>
      <c r="D967" s="1"/>
      <c r="E967" s="1"/>
      <c r="F967" s="1"/>
      <c r="G967" s="1"/>
      <c r="H967" s="1"/>
      <c r="I967" s="1"/>
      <c r="J967" s="1"/>
      <c r="K967" s="1"/>
      <c r="L967" s="1"/>
    </row>
    <row r="968">
      <c r="B968" s="1"/>
      <c r="C968" s="1"/>
      <c r="D968" s="1"/>
      <c r="E968" s="1"/>
      <c r="F968" s="1"/>
      <c r="G968" s="1"/>
      <c r="H968" s="1"/>
      <c r="I968" s="1"/>
      <c r="J968" s="1"/>
      <c r="K968" s="1"/>
      <c r="L968" s="1"/>
    </row>
    <row r="969">
      <c r="B969" s="1"/>
      <c r="C969" s="1"/>
      <c r="D969" s="1"/>
      <c r="E969" s="1"/>
      <c r="F969" s="1"/>
      <c r="G969" s="1"/>
      <c r="H969" s="1"/>
      <c r="I969" s="1"/>
      <c r="J969" s="1"/>
      <c r="K969" s="1"/>
      <c r="L969" s="1"/>
    </row>
    <row r="970">
      <c r="B970" s="1"/>
      <c r="C970" s="1"/>
      <c r="D970" s="1"/>
      <c r="E970" s="1"/>
      <c r="F970" s="1"/>
      <c r="G970" s="1"/>
      <c r="H970" s="1"/>
      <c r="I970" s="1"/>
      <c r="J970" s="1"/>
      <c r="K970" s="1"/>
      <c r="L970" s="1"/>
    </row>
    <row r="971">
      <c r="B971" s="1"/>
      <c r="C971" s="1"/>
      <c r="D971" s="1"/>
      <c r="E971" s="1"/>
      <c r="F971" s="1"/>
      <c r="G971" s="1"/>
      <c r="H971" s="1"/>
      <c r="I971" s="1"/>
      <c r="J971" s="1"/>
      <c r="K971" s="1"/>
      <c r="L971" s="1"/>
    </row>
    <row r="972">
      <c r="B972" s="1"/>
      <c r="C972" s="1"/>
      <c r="D972" s="1"/>
      <c r="E972" s="1"/>
      <c r="F972" s="1"/>
      <c r="G972" s="1"/>
      <c r="H972" s="1"/>
      <c r="I972" s="1"/>
      <c r="J972" s="1"/>
      <c r="K972" s="1"/>
      <c r="L972" s="1"/>
    </row>
    <row r="973">
      <c r="B973" s="1"/>
      <c r="C973" s="1"/>
      <c r="D973" s="1"/>
      <c r="E973" s="1"/>
      <c r="F973" s="1"/>
      <c r="G973" s="1"/>
      <c r="H973" s="1"/>
      <c r="I973" s="1"/>
      <c r="J973" s="1"/>
      <c r="K973" s="1"/>
      <c r="L973" s="1"/>
    </row>
    <row r="974">
      <c r="B974" s="1"/>
      <c r="C974" s="1"/>
      <c r="D974" s="1"/>
      <c r="E974" s="1"/>
      <c r="F974" s="1"/>
      <c r="G974" s="1"/>
      <c r="H974" s="1"/>
      <c r="I974" s="1"/>
      <c r="J974" s="1"/>
      <c r="K974" s="1"/>
      <c r="L974" s="1"/>
    </row>
    <row r="975">
      <c r="B975" s="1"/>
      <c r="C975" s="1"/>
      <c r="D975" s="1"/>
      <c r="E975" s="1"/>
      <c r="F975" s="1"/>
      <c r="G975" s="1"/>
      <c r="H975" s="1"/>
      <c r="I975" s="1"/>
      <c r="J975" s="1"/>
      <c r="K975" s="1"/>
      <c r="L975" s="1"/>
    </row>
    <row r="976">
      <c r="B976" s="1"/>
      <c r="C976" s="1"/>
      <c r="D976" s="1"/>
      <c r="E976" s="1"/>
      <c r="F976" s="1"/>
      <c r="G976" s="1"/>
      <c r="H976" s="1"/>
      <c r="I976" s="1"/>
      <c r="J976" s="1"/>
      <c r="K976" s="1"/>
      <c r="L976" s="1"/>
    </row>
    <row r="977">
      <c r="B977" s="1"/>
      <c r="C977" s="1"/>
      <c r="D977" s="1"/>
      <c r="E977" s="1"/>
      <c r="F977" s="1"/>
      <c r="G977" s="1"/>
      <c r="H977" s="1"/>
      <c r="I977" s="1"/>
      <c r="J977" s="1"/>
      <c r="K977" s="1"/>
      <c r="L977" s="1"/>
    </row>
    <row r="978">
      <c r="B978" s="1"/>
      <c r="C978" s="1"/>
      <c r="D978" s="1"/>
      <c r="E978" s="1"/>
      <c r="F978" s="1"/>
      <c r="G978" s="1"/>
      <c r="H978" s="1"/>
      <c r="I978" s="1"/>
      <c r="J978" s="1"/>
      <c r="K978" s="1"/>
      <c r="L978" s="1"/>
    </row>
    <row r="979">
      <c r="B979" s="1"/>
      <c r="C979" s="1"/>
      <c r="D979" s="1"/>
      <c r="E979" s="1"/>
      <c r="F979" s="1"/>
      <c r="G979" s="1"/>
      <c r="H979" s="1"/>
      <c r="I979" s="1"/>
      <c r="J979" s="1"/>
      <c r="K979" s="1"/>
      <c r="L979" s="1"/>
    </row>
    <row r="980">
      <c r="B980" s="1"/>
      <c r="C980" s="1"/>
      <c r="D980" s="1"/>
      <c r="E980" s="1"/>
      <c r="F980" s="1"/>
      <c r="G980" s="1"/>
      <c r="H980" s="1"/>
      <c r="I980" s="1"/>
      <c r="J980" s="1"/>
      <c r="K980" s="1"/>
      <c r="L980" s="1"/>
    </row>
    <row r="981">
      <c r="B981" s="1"/>
      <c r="C981" s="1"/>
      <c r="D981" s="1"/>
      <c r="E981" s="1"/>
      <c r="F981" s="1"/>
      <c r="G981" s="1"/>
      <c r="H981" s="1"/>
      <c r="I981" s="1"/>
      <c r="J981" s="1"/>
      <c r="K981" s="1"/>
      <c r="L981" s="1"/>
    </row>
    <row r="982">
      <c r="B982" s="1"/>
      <c r="C982" s="1"/>
      <c r="D982" s="1"/>
      <c r="E982" s="1"/>
      <c r="F982" s="1"/>
      <c r="G982" s="1"/>
      <c r="H982" s="1"/>
      <c r="I982" s="1"/>
      <c r="J982" s="1"/>
      <c r="K982" s="1"/>
      <c r="L982" s="1"/>
    </row>
    <row r="983">
      <c r="B983" s="1"/>
      <c r="C983" s="1"/>
      <c r="D983" s="1"/>
      <c r="E983" s="1"/>
      <c r="F983" s="1"/>
      <c r="G983" s="1"/>
      <c r="H983" s="1"/>
      <c r="I983" s="1"/>
      <c r="J983" s="1"/>
      <c r="K983" s="1"/>
      <c r="L983" s="1"/>
    </row>
    <row r="984">
      <c r="B984" s="1"/>
      <c r="C984" s="1"/>
      <c r="D984" s="1"/>
      <c r="E984" s="1"/>
      <c r="F984" s="1"/>
      <c r="G984" s="1"/>
      <c r="H984" s="1"/>
      <c r="I984" s="1"/>
      <c r="J984" s="1"/>
      <c r="K984" s="1"/>
      <c r="L984" s="1"/>
    </row>
    <row r="985">
      <c r="B985" s="1"/>
      <c r="C985" s="1"/>
      <c r="D985" s="1"/>
      <c r="E985" s="1"/>
      <c r="F985" s="1"/>
      <c r="G985" s="1"/>
      <c r="H985" s="1"/>
      <c r="I985" s="1"/>
      <c r="J985" s="1"/>
      <c r="K985" s="1"/>
      <c r="L985" s="1"/>
    </row>
    <row r="986">
      <c r="B986" s="1"/>
      <c r="C986" s="1"/>
      <c r="D986" s="1"/>
      <c r="E986" s="1"/>
      <c r="F986" s="1"/>
      <c r="G986" s="1"/>
      <c r="H986" s="1"/>
      <c r="I986" s="1"/>
      <c r="J986" s="1"/>
      <c r="K986" s="1"/>
      <c r="L986" s="1"/>
    </row>
    <row r="987">
      <c r="B987" s="1"/>
      <c r="C987" s="1"/>
      <c r="D987" s="1"/>
      <c r="E987" s="1"/>
      <c r="F987" s="1"/>
      <c r="G987" s="1"/>
      <c r="H987" s="1"/>
      <c r="I987" s="1"/>
      <c r="J987" s="1"/>
      <c r="K987" s="1"/>
      <c r="L987" s="1"/>
    </row>
    <row r="988">
      <c r="B988" s="1"/>
      <c r="C988" s="1"/>
      <c r="D988" s="1"/>
      <c r="E988" s="1"/>
      <c r="F988" s="1"/>
      <c r="G988" s="1"/>
      <c r="H988" s="1"/>
      <c r="I988" s="1"/>
      <c r="J988" s="1"/>
      <c r="K988" s="1"/>
      <c r="L988" s="1"/>
    </row>
    <row r="989">
      <c r="B989" s="1"/>
      <c r="C989" s="1"/>
      <c r="D989" s="1"/>
      <c r="E989" s="1"/>
      <c r="F989" s="1"/>
      <c r="G989" s="1"/>
      <c r="H989" s="1"/>
      <c r="I989" s="1"/>
      <c r="J989" s="1"/>
      <c r="K989" s="1"/>
      <c r="L989" s="1"/>
    </row>
    <row r="990">
      <c r="B990" s="1"/>
      <c r="C990" s="1"/>
      <c r="D990" s="1"/>
      <c r="E990" s="1"/>
      <c r="F990" s="1"/>
      <c r="G990" s="1"/>
      <c r="H990" s="1"/>
      <c r="I990" s="1"/>
      <c r="J990" s="1"/>
      <c r="K990" s="1"/>
      <c r="L990" s="1"/>
    </row>
    <row r="991">
      <c r="B991" s="1"/>
      <c r="C991" s="1"/>
      <c r="D991" s="1"/>
      <c r="E991" s="1"/>
      <c r="F991" s="1"/>
      <c r="G991" s="1"/>
      <c r="H991" s="1"/>
      <c r="I991" s="1"/>
      <c r="J991" s="1"/>
      <c r="K991" s="1"/>
      <c r="L991" s="1"/>
    </row>
    <row r="992">
      <c r="B992" s="1"/>
      <c r="C992" s="1"/>
      <c r="D992" s="1"/>
      <c r="E992" s="1"/>
      <c r="F992" s="1"/>
      <c r="G992" s="1"/>
      <c r="H992" s="1"/>
      <c r="I992" s="1"/>
      <c r="J992" s="1"/>
      <c r="K992" s="1"/>
      <c r="L992" s="1"/>
    </row>
  </sheetData>
  <sheetProtection algorithmName="SHA-512" hashValue="eo/h3YkFH9XT4VUji1XzbD5GcKGIyYrDbeFIA/dy5yaEa4FmWdc2bwUuH4fdIbZS/InHT7qMVKBIYXnVEVUuQg==" saltValue="fE8n1CxU3uyaAdngHbycbw==" spinCount="100000" sheet="1" objects="1" scenarios="1" selectLockedCells="1"/>
  <mergeCells count="7">
    <mergeCell ref="H11:L16"/>
    <mergeCell ref="H18:L23"/>
    <mergeCell ref="H24:L29"/>
    <mergeCell ref="B2:B3"/>
    <mergeCell ref="D2:G3"/>
    <mergeCell ref="H2:L3"/>
    <mergeCell ref="H5:L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F141"/>
  <sheetViews>
    <sheetView topLeftCell="B2" workbookViewId="0">
      <pane xSplit="4" ySplit="4" topLeftCell="F95" activePane="bottomRight" state="frozen"/>
      <selection pane="bottomRight" activeCell="G2" sqref="G2:G3"/>
      <selection pane="bottomLeft" activeCell="B6" sqref="B6"/>
      <selection pane="topRight" activeCell="F2" sqref="F2"/>
    </sheetView>
  </sheetViews>
  <sheetFormatPr defaultRowHeight="14.45"/>
  <cols>
    <col min="1" max="1" width="1.42578125" style="1" customWidth="1"/>
    <col min="2" max="2" width="25.140625" style="187" customWidth="1"/>
    <col min="3" max="3" width="15.7109375" style="187" hidden="1" customWidth="1"/>
    <col min="4" max="28" width="15.7109375" style="187" customWidth="1"/>
    <col min="29" max="35" width="15.7109375" style="1" customWidth="1"/>
    <col min="135" max="154" width="8.85546875" style="1"/>
    <col min="155" max="156" width="8.85546875" style="253"/>
    <col min="157" max="157" width="13.42578125" style="253" bestFit="1" customWidth="1"/>
    <col min="158" max="158" width="50.85546875" style="253" customWidth="1"/>
    <col min="159" max="188" width="8.85546875" style="253"/>
  </cols>
  <sheetData>
    <row r="2" s="1" customFormat="1" ht="14.45" customHeight="1">
      <c r="B2" s="421" t="s">
        <v>11</v>
      </c>
      <c r="C2" s="422"/>
      <c r="D2" s="422"/>
      <c r="E2" s="423"/>
      <c r="F2" s="470" t="s">
        <v>12</v>
      </c>
      <c r="G2" s="472"/>
      <c r="H2" s="187"/>
      <c r="I2" s="187"/>
      <c r="J2" s="187"/>
      <c r="K2" s="187"/>
      <c r="L2" s="187"/>
      <c r="M2" s="187"/>
      <c r="N2" s="187"/>
      <c r="O2" s="187"/>
      <c r="P2" s="187"/>
      <c r="Q2" s="187"/>
      <c r="R2" s="187"/>
      <c r="S2" s="187"/>
      <c r="T2" s="187"/>
    </row>
    <row r="3" s="1" customFormat="1" ht="14.45" customHeight="1">
      <c r="B3" s="424"/>
      <c r="C3" s="425"/>
      <c r="D3" s="425"/>
      <c r="E3" s="426"/>
      <c r="F3" s="471"/>
      <c r="G3" s="473"/>
      <c r="H3" s="187"/>
      <c r="I3" s="187"/>
      <c r="J3" s="187"/>
      <c r="K3" s="187"/>
      <c r="L3" s="187"/>
      <c r="M3" s="187"/>
      <c r="N3" s="187"/>
      <c r="O3" s="187"/>
      <c r="P3" s="187"/>
      <c r="Q3" s="187"/>
      <c r="R3" s="187"/>
      <c r="S3" s="187"/>
      <c r="T3" s="187"/>
    </row>
    <row r="4" s="1" customFormat="1" ht="9.4" customHeight="1">
      <c r="B4" s="187"/>
      <c r="C4" s="187"/>
      <c r="D4" s="187"/>
      <c r="E4" s="187"/>
      <c r="F4" s="187"/>
      <c r="G4" s="187"/>
      <c r="H4" s="187"/>
      <c r="I4" s="187"/>
      <c r="J4" s="187"/>
      <c r="K4" s="187"/>
      <c r="L4" s="187"/>
      <c r="M4" s="187"/>
      <c r="N4" s="187"/>
      <c r="O4" s="187"/>
      <c r="P4" s="187"/>
      <c r="Q4" s="187"/>
      <c r="R4" s="187"/>
      <c r="S4" s="187"/>
      <c r="T4" s="187"/>
    </row>
    <row r="5" s="1" customFormat="1">
      <c r="B5" s="443" t="s">
        <v>13</v>
      </c>
      <c r="C5" s="443"/>
      <c r="D5" s="443"/>
      <c r="E5" s="443"/>
      <c r="F5" s="188">
        <v>2023</v>
      </c>
      <c r="G5" s="189">
        <v>2024</v>
      </c>
      <c r="H5" s="189">
        <f t="shared" ref="H5:Q5" si="0">G5+1</f>
      </c>
      <c r="I5" s="189">
        <f t="shared" si="0"/>
      </c>
      <c r="J5" s="189">
        <f t="shared" si="0"/>
      </c>
      <c r="K5" s="189">
        <f t="shared" si="0"/>
      </c>
      <c r="L5" s="189">
        <f t="shared" si="0"/>
      </c>
      <c r="M5" s="189">
        <f t="shared" si="0"/>
      </c>
      <c r="N5" s="189">
        <f t="shared" si="0"/>
      </c>
      <c r="O5" s="189">
        <f t="shared" si="0"/>
      </c>
      <c r="P5" s="189">
        <f t="shared" si="0"/>
      </c>
      <c r="Q5" s="189">
        <f t="shared" si="0"/>
      </c>
      <c r="R5" s="189">
        <f t="shared" ref="R5" si="1">Q5+1</f>
      </c>
      <c r="S5" s="189">
        <f t="shared" ref="S5" si="2">R5+1</f>
      </c>
      <c r="T5" s="189">
        <f t="shared" ref="T5" si="3">S5+1</f>
      </c>
    </row>
    <row r="6" s="1" customFormat="1">
      <c r="B6" s="479" t="s">
        <v>14</v>
      </c>
      <c r="C6" s="162">
        <f t="shared" ref="C6:C94" si="4">TEXT(B6,"yyyy")</f>
      </c>
      <c r="D6" s="481" t="s">
        <v>15</v>
      </c>
      <c r="E6" s="190" t="s">
        <v>16</v>
      </c>
      <c r="F6" s="191"/>
      <c r="G6" s="191"/>
      <c r="H6" s="191"/>
      <c r="I6" s="191"/>
      <c r="J6" s="191"/>
      <c r="K6" s="191"/>
      <c r="L6" s="191"/>
      <c r="M6" s="191"/>
      <c r="N6" s="191"/>
      <c r="O6" s="191"/>
      <c r="P6" s="191"/>
      <c r="Q6" s="191"/>
      <c r="R6" s="191"/>
      <c r="S6" s="191"/>
      <c r="T6" s="191"/>
    </row>
    <row r="7" s="1" customFormat="1">
      <c r="B7" s="480"/>
      <c r="C7" s="162">
        <f t="shared" si="4"/>
      </c>
      <c r="D7" s="481"/>
      <c r="E7" s="192" t="s">
        <v>17</v>
      </c>
      <c r="F7" s="191"/>
      <c r="G7" s="191"/>
      <c r="H7" s="191"/>
      <c r="I7" s="191"/>
      <c r="J7" s="191"/>
      <c r="K7" s="191"/>
      <c r="L7" s="191"/>
      <c r="M7" s="191"/>
      <c r="N7" s="191"/>
      <c r="O7" s="191"/>
      <c r="P7" s="191"/>
      <c r="Q7" s="191"/>
      <c r="R7" s="191"/>
      <c r="S7" s="191"/>
      <c r="T7" s="191"/>
    </row>
    <row r="8" s="1" customFormat="1">
      <c r="B8" s="480"/>
      <c r="C8" s="162">
        <f t="shared" si="4"/>
      </c>
      <c r="D8" s="481"/>
      <c r="E8" s="192" t="s">
        <v>18</v>
      </c>
      <c r="F8" s="191"/>
      <c r="G8" s="191"/>
      <c r="H8" s="191"/>
      <c r="I8" s="191"/>
      <c r="J8" s="191"/>
      <c r="K8" s="191"/>
      <c r="L8" s="191"/>
      <c r="M8" s="191"/>
      <c r="N8" s="191"/>
      <c r="O8" s="191"/>
      <c r="P8" s="191"/>
      <c r="Q8" s="191"/>
      <c r="R8" s="191"/>
      <c r="S8" s="191"/>
      <c r="T8" s="191"/>
    </row>
    <row r="9" s="1" customFormat="1">
      <c r="B9" s="480"/>
      <c r="C9" s="162">
        <f t="shared" si="4"/>
      </c>
      <c r="D9" s="482"/>
      <c r="E9" s="192" t="s">
        <v>19</v>
      </c>
      <c r="F9" s="191"/>
      <c r="G9" s="191"/>
      <c r="H9" s="191"/>
      <c r="I9" s="191"/>
      <c r="J9" s="191"/>
      <c r="K9" s="191"/>
      <c r="L9" s="191"/>
      <c r="M9" s="191"/>
      <c r="N9" s="191"/>
      <c r="O9" s="191"/>
      <c r="P9" s="191"/>
      <c r="Q9" s="191"/>
      <c r="R9" s="191"/>
      <c r="S9" s="191"/>
      <c r="T9" s="191"/>
    </row>
    <row r="10" s="1" customFormat="1">
      <c r="B10" s="480"/>
      <c r="C10" s="162">
        <f t="shared" si="4"/>
      </c>
      <c r="D10" s="483" t="s">
        <v>20</v>
      </c>
      <c r="E10" s="192" t="s">
        <v>21</v>
      </c>
      <c r="F10" s="191"/>
      <c r="G10" s="191"/>
      <c r="H10" s="191"/>
      <c r="I10" s="191"/>
      <c r="J10" s="191"/>
      <c r="K10" s="191"/>
      <c r="L10" s="191"/>
      <c r="M10" s="191"/>
      <c r="N10" s="191"/>
      <c r="O10" s="191"/>
      <c r="P10" s="191"/>
      <c r="Q10" s="191"/>
      <c r="R10" s="191"/>
      <c r="S10" s="191"/>
      <c r="T10" s="191"/>
    </row>
    <row r="11" s="1" customFormat="1">
      <c r="B11" s="480"/>
      <c r="C11" s="162">
        <f t="shared" si="4"/>
      </c>
      <c r="D11" s="481"/>
      <c r="E11" s="192" t="s">
        <v>22</v>
      </c>
      <c r="F11" s="191"/>
      <c r="G11" s="191"/>
      <c r="H11" s="191"/>
      <c r="I11" s="191"/>
      <c r="J11" s="191"/>
      <c r="K11" s="191"/>
      <c r="L11" s="191"/>
      <c r="M11" s="191"/>
      <c r="N11" s="191"/>
      <c r="O11" s="191"/>
      <c r="P11" s="191"/>
      <c r="Q11" s="191"/>
      <c r="R11" s="191"/>
      <c r="S11" s="191"/>
      <c r="T11" s="191"/>
    </row>
    <row r="12" s="1" customFormat="1">
      <c r="B12" s="480"/>
      <c r="C12" s="162">
        <f t="shared" si="4"/>
      </c>
      <c r="D12" s="481"/>
      <c r="E12" s="192" t="s">
        <v>23</v>
      </c>
      <c r="F12" s="191"/>
      <c r="G12" s="191"/>
      <c r="H12" s="191"/>
      <c r="I12" s="191"/>
      <c r="J12" s="191"/>
      <c r="K12" s="191"/>
      <c r="L12" s="191"/>
      <c r="M12" s="191"/>
      <c r="N12" s="191"/>
      <c r="O12" s="191"/>
      <c r="P12" s="191"/>
      <c r="Q12" s="191"/>
      <c r="R12" s="191"/>
      <c r="S12" s="191"/>
      <c r="T12" s="191"/>
    </row>
    <row r="13" s="1" customFormat="1">
      <c r="B13" s="480"/>
      <c r="C13" s="162">
        <f t="shared" si="4"/>
      </c>
      <c r="D13" s="481"/>
      <c r="E13" s="192" t="s">
        <v>24</v>
      </c>
      <c r="F13" s="191"/>
      <c r="G13" s="191"/>
      <c r="H13" s="191"/>
      <c r="I13" s="191"/>
      <c r="J13" s="191"/>
      <c r="K13" s="191"/>
      <c r="L13" s="191"/>
      <c r="M13" s="191"/>
      <c r="N13" s="191"/>
      <c r="O13" s="191"/>
      <c r="P13" s="191"/>
      <c r="Q13" s="191"/>
      <c r="R13" s="191"/>
      <c r="S13" s="191"/>
      <c r="T13" s="191"/>
    </row>
    <row r="14" s="1" customFormat="1">
      <c r="B14" s="480"/>
      <c r="C14" s="162"/>
      <c r="D14" s="484" t="s">
        <v>25</v>
      </c>
      <c r="E14" s="484"/>
      <c r="F14" s="193">
        <f>F6+F7+F8+F9</f>
      </c>
      <c r="G14" s="193">
        <f t="shared" ref="G14:Q14" si="5">G6+G7+G8+G9</f>
      </c>
      <c r="H14" s="193">
        <f t="shared" si="5"/>
      </c>
      <c r="I14" s="193">
        <f t="shared" si="5"/>
      </c>
      <c r="J14" s="193">
        <f t="shared" si="5"/>
      </c>
      <c r="K14" s="193">
        <f t="shared" si="5"/>
      </c>
      <c r="L14" s="193">
        <f t="shared" si="5"/>
      </c>
      <c r="M14" s="193">
        <f t="shared" si="5"/>
      </c>
      <c r="N14" s="193">
        <f t="shared" si="5"/>
      </c>
      <c r="O14" s="193">
        <f t="shared" si="5"/>
      </c>
      <c r="P14" s="193">
        <f t="shared" si="5"/>
      </c>
      <c r="Q14" s="193">
        <f t="shared" si="5"/>
      </c>
      <c r="R14" s="193">
        <f t="shared" ref="R14:T14" si="6">R6+R7+R8+R9</f>
      </c>
      <c r="S14" s="193">
        <f t="shared" si="6"/>
      </c>
      <c r="T14" s="193">
        <f t="shared" si="6"/>
      </c>
    </row>
    <row r="15" s="1" customFormat="1">
      <c r="B15" s="480"/>
      <c r="C15" s="162">
        <f t="shared" si="4"/>
      </c>
      <c r="D15" s="484" t="s">
        <v>26</v>
      </c>
      <c r="E15" s="484"/>
      <c r="F15" s="193">
        <f>+F10+F11+F12+F13</f>
      </c>
      <c r="G15" s="193">
        <f t="shared" ref="G15:Q15" si="7">+G10+G11+G12+G13</f>
      </c>
      <c r="H15" s="193">
        <f t="shared" si="7"/>
      </c>
      <c r="I15" s="193">
        <f t="shared" si="7"/>
      </c>
      <c r="J15" s="193">
        <f t="shared" si="7"/>
      </c>
      <c r="K15" s="193">
        <f t="shared" si="7"/>
      </c>
      <c r="L15" s="193">
        <f t="shared" si="7"/>
      </c>
      <c r="M15" s="193">
        <f t="shared" si="7"/>
      </c>
      <c r="N15" s="193">
        <f t="shared" si="7"/>
      </c>
      <c r="O15" s="193">
        <f t="shared" si="7"/>
      </c>
      <c r="P15" s="193">
        <f t="shared" si="7"/>
      </c>
      <c r="Q15" s="193">
        <f t="shared" si="7"/>
      </c>
      <c r="R15" s="193">
        <f t="shared" ref="R15:T15" si="8">+R10+R11+R12+R13</f>
      </c>
      <c r="S15" s="193">
        <f t="shared" si="8"/>
      </c>
      <c r="T15" s="193">
        <f t="shared" si="8"/>
      </c>
    </row>
    <row r="16" s="1" customFormat="1">
      <c r="B16" s="474" t="s">
        <v>27</v>
      </c>
      <c r="C16" s="194">
        <f t="shared" si="4"/>
      </c>
      <c r="D16" s="475" t="s">
        <v>15</v>
      </c>
      <c r="E16" s="195" t="s">
        <v>16</v>
      </c>
      <c r="F16" s="191"/>
      <c r="G16" s="191"/>
      <c r="H16" s="191"/>
      <c r="I16" s="191"/>
      <c r="J16" s="191"/>
      <c r="K16" s="191"/>
      <c r="L16" s="191"/>
      <c r="M16" s="191"/>
      <c r="N16" s="191"/>
      <c r="O16" s="191"/>
      <c r="P16" s="191"/>
      <c r="Q16" s="191"/>
      <c r="R16" s="191"/>
      <c r="S16" s="191"/>
      <c r="T16" s="191"/>
    </row>
    <row r="17" s="1" customFormat="1" ht="10.5" customHeight="1">
      <c r="B17" s="474"/>
      <c r="C17" s="194">
        <f t="shared" si="4"/>
      </c>
      <c r="D17" s="476"/>
      <c r="E17" s="195" t="s">
        <v>17</v>
      </c>
      <c r="F17" s="191"/>
      <c r="G17" s="191"/>
      <c r="H17" s="191"/>
      <c r="I17" s="191"/>
      <c r="J17" s="191"/>
      <c r="K17" s="191"/>
      <c r="L17" s="191"/>
      <c r="M17" s="191"/>
      <c r="N17" s="191"/>
      <c r="O17" s="191"/>
      <c r="P17" s="191"/>
      <c r="Q17" s="191"/>
      <c r="R17" s="191"/>
      <c r="S17" s="191"/>
      <c r="T17" s="191"/>
    </row>
    <row r="18" s="32" customFormat="1" ht="14.45" customHeight="1">
      <c r="B18" s="474"/>
      <c r="C18" s="194">
        <f t="shared" si="4"/>
      </c>
      <c r="D18" s="476"/>
      <c r="E18" s="195" t="s">
        <v>18</v>
      </c>
      <c r="F18" s="191"/>
      <c r="G18" s="191"/>
      <c r="H18" s="191"/>
      <c r="I18" s="191"/>
      <c r="J18" s="191"/>
      <c r="K18" s="191"/>
      <c r="L18" s="191"/>
      <c r="M18" s="191"/>
      <c r="N18" s="191"/>
      <c r="O18" s="191"/>
      <c r="P18" s="191"/>
      <c r="Q18" s="191"/>
      <c r="R18" s="191"/>
      <c r="S18" s="191"/>
      <c r="T18" s="191"/>
    </row>
    <row r="19" ht="14.45" customHeight="1">
      <c r="B19" s="474"/>
      <c r="C19" s="194">
        <f t="shared" si="4"/>
      </c>
      <c r="D19" s="477"/>
      <c r="E19" s="195" t="s">
        <v>19</v>
      </c>
      <c r="F19" s="191"/>
      <c r="G19" s="191"/>
      <c r="H19" s="191"/>
      <c r="I19" s="191"/>
      <c r="J19" s="191"/>
      <c r="K19" s="191"/>
      <c r="L19" s="191"/>
      <c r="M19" s="191"/>
      <c r="N19" s="191"/>
      <c r="O19" s="191"/>
      <c r="P19" s="191"/>
      <c r="Q19" s="191"/>
      <c r="R19" s="191"/>
      <c r="S19" s="191"/>
      <c r="T19" s="191"/>
    </row>
    <row r="20" ht="14.45" customHeight="1">
      <c r="B20" s="474"/>
      <c r="C20" s="194">
        <f t="shared" si="4"/>
      </c>
      <c r="D20" s="475" t="s">
        <v>20</v>
      </c>
      <c r="E20" s="195" t="s">
        <v>21</v>
      </c>
      <c r="F20" s="191"/>
      <c r="G20" s="191"/>
      <c r="H20" s="191"/>
      <c r="I20" s="191"/>
      <c r="J20" s="191"/>
      <c r="K20" s="191"/>
      <c r="L20" s="191"/>
      <c r="M20" s="191"/>
      <c r="N20" s="191"/>
      <c r="O20" s="191"/>
      <c r="P20" s="191"/>
      <c r="Q20" s="191"/>
      <c r="R20" s="191"/>
      <c r="S20" s="191"/>
      <c r="T20" s="191"/>
    </row>
    <row r="21" ht="14.45" customHeight="1">
      <c r="B21" s="474"/>
      <c r="C21" s="194">
        <f t="shared" si="4"/>
      </c>
      <c r="D21" s="476"/>
      <c r="E21" s="195" t="s">
        <v>22</v>
      </c>
      <c r="F21" s="191"/>
      <c r="G21" s="191"/>
      <c r="H21" s="191"/>
      <c r="I21" s="191"/>
      <c r="J21" s="191"/>
      <c r="K21" s="191"/>
      <c r="L21" s="191"/>
      <c r="M21" s="191"/>
      <c r="N21" s="191"/>
      <c r="O21" s="191"/>
      <c r="P21" s="191"/>
      <c r="Q21" s="191"/>
      <c r="R21" s="191"/>
      <c r="S21" s="191"/>
      <c r="T21" s="191"/>
    </row>
    <row r="22" ht="14.45" customHeight="1">
      <c r="B22" s="474"/>
      <c r="C22" s="194">
        <f t="shared" si="4"/>
      </c>
      <c r="D22" s="476"/>
      <c r="E22" s="195" t="s">
        <v>23</v>
      </c>
      <c r="F22" s="191"/>
      <c r="G22" s="191"/>
      <c r="H22" s="191"/>
      <c r="I22" s="191"/>
      <c r="J22" s="191"/>
      <c r="K22" s="191"/>
      <c r="L22" s="191"/>
      <c r="M22" s="191"/>
      <c r="N22" s="191"/>
      <c r="O22" s="191"/>
      <c r="P22" s="191"/>
      <c r="Q22" s="191"/>
      <c r="R22" s="191"/>
      <c r="S22" s="191"/>
      <c r="T22" s="191"/>
    </row>
    <row r="23" ht="14.45" customHeight="1">
      <c r="B23" s="474"/>
      <c r="C23" s="194">
        <f t="shared" si="4"/>
      </c>
      <c r="D23" s="476"/>
      <c r="E23" s="195" t="s">
        <v>24</v>
      </c>
      <c r="F23" s="191"/>
      <c r="G23" s="191"/>
      <c r="H23" s="191"/>
      <c r="I23" s="191"/>
      <c r="J23" s="191"/>
      <c r="K23" s="191"/>
      <c r="L23" s="191"/>
      <c r="M23" s="191"/>
      <c r="N23" s="191"/>
      <c r="O23" s="191"/>
      <c r="P23" s="191"/>
      <c r="Q23" s="191"/>
      <c r="R23" s="191"/>
      <c r="S23" s="191"/>
      <c r="T23" s="191"/>
    </row>
    <row r="24" ht="14.45" customHeight="1">
      <c r="B24" s="474"/>
      <c r="C24" s="194"/>
      <c r="D24" s="478" t="s">
        <v>28</v>
      </c>
      <c r="E24" s="478"/>
      <c r="F24" s="198">
        <f>F16+F17+F18+F19</f>
      </c>
      <c r="G24" s="198">
        <f t="shared" ref="G24:Q24" si="9">G16+G17+G18+G19</f>
      </c>
      <c r="H24" s="198">
        <f t="shared" si="9"/>
      </c>
      <c r="I24" s="198">
        <f t="shared" si="9"/>
      </c>
      <c r="J24" s="198">
        <f t="shared" si="9"/>
      </c>
      <c r="K24" s="198">
        <f t="shared" si="9"/>
      </c>
      <c r="L24" s="198">
        <f t="shared" si="9"/>
      </c>
      <c r="M24" s="198">
        <f t="shared" si="9"/>
      </c>
      <c r="N24" s="198">
        <f t="shared" si="9"/>
      </c>
      <c r="O24" s="198">
        <f t="shared" si="9"/>
      </c>
      <c r="P24" s="198">
        <f t="shared" si="9"/>
      </c>
      <c r="Q24" s="198">
        <f t="shared" si="9"/>
      </c>
      <c r="R24" s="198">
        <f t="shared" ref="R24:T24" si="10">R16+R17+R18+R19</f>
      </c>
      <c r="S24" s="198">
        <f t="shared" si="10"/>
      </c>
      <c r="T24" s="198">
        <f t="shared" si="10"/>
      </c>
    </row>
    <row r="25" ht="14.45" customHeight="1">
      <c r="B25" s="474"/>
      <c r="C25" s="194">
        <f t="shared" si="4"/>
      </c>
      <c r="D25" s="478" t="s">
        <v>29</v>
      </c>
      <c r="E25" s="478"/>
      <c r="F25" s="198">
        <f>F20+F21+F22+F23</f>
      </c>
      <c r="G25" s="198">
        <f t="shared" ref="G25:Q25" si="11">G20+G21+G22+G23</f>
      </c>
      <c r="H25" s="198">
        <f t="shared" si="11"/>
      </c>
      <c r="I25" s="198">
        <f t="shared" si="11"/>
      </c>
      <c r="J25" s="198">
        <f t="shared" si="11"/>
      </c>
      <c r="K25" s="198">
        <f t="shared" si="11"/>
      </c>
      <c r="L25" s="198">
        <f t="shared" si="11"/>
      </c>
      <c r="M25" s="198">
        <f t="shared" si="11"/>
      </c>
      <c r="N25" s="198">
        <f t="shared" si="11"/>
      </c>
      <c r="O25" s="198">
        <f t="shared" si="11"/>
      </c>
      <c r="P25" s="198">
        <f t="shared" si="11"/>
      </c>
      <c r="Q25" s="198">
        <f t="shared" si="11"/>
      </c>
      <c r="R25" s="198">
        <f t="shared" ref="R25:T25" si="12">R20+R21+R22+R23</f>
      </c>
      <c r="S25" s="198">
        <f t="shared" si="12"/>
      </c>
      <c r="T25" s="198">
        <f t="shared" si="12"/>
      </c>
    </row>
    <row r="26" ht="14.45" customHeight="1">
      <c r="B26" s="464" t="s">
        <v>30</v>
      </c>
      <c r="C26" s="199">
        <f t="shared" si="4"/>
      </c>
      <c r="D26" s="466" t="s">
        <v>15</v>
      </c>
      <c r="E26" s="200" t="s">
        <v>16</v>
      </c>
      <c r="F26" s="191"/>
      <c r="G26" s="191"/>
      <c r="H26" s="191"/>
      <c r="I26" s="191"/>
      <c r="J26" s="191"/>
      <c r="K26" s="191"/>
      <c r="L26" s="191"/>
      <c r="M26" s="191"/>
      <c r="N26" s="191"/>
      <c r="O26" s="191"/>
      <c r="P26" s="191"/>
      <c r="Q26" s="191"/>
      <c r="R26" s="191"/>
      <c r="S26" s="191"/>
      <c r="T26" s="191"/>
    </row>
    <row r="27" ht="14.45" customHeight="1">
      <c r="B27" s="464"/>
      <c r="C27" s="199">
        <f t="shared" si="4"/>
      </c>
      <c r="D27" s="467"/>
      <c r="E27" s="200" t="s">
        <v>17</v>
      </c>
      <c r="F27" s="191"/>
      <c r="G27" s="191"/>
      <c r="H27" s="191"/>
      <c r="I27" s="191"/>
      <c r="J27" s="191"/>
      <c r="K27" s="191"/>
      <c r="L27" s="191"/>
      <c r="M27" s="191"/>
      <c r="N27" s="191"/>
      <c r="O27" s="191"/>
      <c r="P27" s="191"/>
      <c r="Q27" s="191"/>
      <c r="R27" s="191"/>
      <c r="S27" s="191"/>
      <c r="T27" s="191"/>
    </row>
    <row r="28" ht="14.45" customHeight="1">
      <c r="B28" s="464"/>
      <c r="C28" s="199">
        <f t="shared" si="4"/>
      </c>
      <c r="D28" s="467"/>
      <c r="E28" s="200" t="s">
        <v>18</v>
      </c>
      <c r="F28" s="191"/>
      <c r="G28" s="191"/>
      <c r="H28" s="191"/>
      <c r="I28" s="191"/>
      <c r="J28" s="191"/>
      <c r="K28" s="191"/>
      <c r="L28" s="191"/>
      <c r="M28" s="191"/>
      <c r="N28" s="191"/>
      <c r="O28" s="191"/>
      <c r="P28" s="191"/>
      <c r="Q28" s="191"/>
      <c r="R28" s="191"/>
      <c r="S28" s="191"/>
      <c r="T28" s="191"/>
    </row>
    <row r="29" ht="15" customHeight="1">
      <c r="B29" s="464"/>
      <c r="C29" s="199">
        <f t="shared" si="4"/>
      </c>
      <c r="D29" s="468"/>
      <c r="E29" s="200" t="s">
        <v>19</v>
      </c>
      <c r="F29" s="191"/>
      <c r="G29" s="191"/>
      <c r="H29" s="191"/>
      <c r="I29" s="191"/>
      <c r="J29" s="191"/>
      <c r="K29" s="191"/>
      <c r="L29" s="191"/>
      <c r="M29" s="191"/>
      <c r="N29" s="191"/>
      <c r="O29" s="191"/>
      <c r="P29" s="191"/>
      <c r="Q29" s="191"/>
      <c r="R29" s="191"/>
      <c r="S29" s="191"/>
      <c r="T29" s="191"/>
    </row>
    <row r="30">
      <c r="B30" s="464"/>
      <c r="C30" s="199">
        <f t="shared" si="4"/>
      </c>
      <c r="D30" s="466" t="s">
        <v>20</v>
      </c>
      <c r="E30" s="200" t="s">
        <v>21</v>
      </c>
      <c r="F30" s="191"/>
      <c r="G30" s="191"/>
      <c r="H30" s="191"/>
      <c r="I30" s="191"/>
      <c r="J30" s="191"/>
      <c r="K30" s="191"/>
      <c r="L30" s="191"/>
      <c r="M30" s="191"/>
      <c r="N30" s="191"/>
      <c r="O30" s="191"/>
      <c r="P30" s="191"/>
      <c r="Q30" s="191"/>
      <c r="R30" s="191"/>
      <c r="S30" s="191"/>
      <c r="T30" s="191"/>
    </row>
    <row r="31">
      <c r="B31" s="464"/>
      <c r="C31" s="199">
        <f t="shared" si="4"/>
      </c>
      <c r="D31" s="467"/>
      <c r="E31" s="200" t="s">
        <v>22</v>
      </c>
      <c r="F31" s="191"/>
      <c r="G31" s="191"/>
      <c r="H31" s="191"/>
      <c r="I31" s="191"/>
      <c r="J31" s="191"/>
      <c r="K31" s="191"/>
      <c r="L31" s="191"/>
      <c r="M31" s="191"/>
      <c r="N31" s="191"/>
      <c r="O31" s="191"/>
      <c r="P31" s="191"/>
      <c r="Q31" s="191"/>
      <c r="R31" s="191"/>
      <c r="S31" s="191"/>
      <c r="T31" s="191"/>
    </row>
    <row r="32">
      <c r="B32" s="464"/>
      <c r="C32" s="199">
        <f t="shared" si="4"/>
      </c>
      <c r="D32" s="467"/>
      <c r="E32" s="200" t="s">
        <v>23</v>
      </c>
      <c r="F32" s="191"/>
      <c r="G32" s="191"/>
      <c r="H32" s="191"/>
      <c r="I32" s="191"/>
      <c r="J32" s="191"/>
      <c r="K32" s="191"/>
      <c r="L32" s="191"/>
      <c r="M32" s="191"/>
      <c r="N32" s="191"/>
      <c r="O32" s="191"/>
      <c r="P32" s="191"/>
      <c r="Q32" s="191"/>
      <c r="R32" s="191"/>
      <c r="S32" s="191"/>
      <c r="T32" s="191"/>
    </row>
    <row r="33">
      <c r="B33" s="464"/>
      <c r="C33" s="199">
        <f t="shared" si="4"/>
      </c>
      <c r="D33" s="467"/>
      <c r="E33" s="200" t="s">
        <v>24</v>
      </c>
      <c r="F33" s="191"/>
      <c r="G33" s="191"/>
      <c r="H33" s="191"/>
      <c r="I33" s="191"/>
      <c r="J33" s="191"/>
      <c r="K33" s="191"/>
      <c r="L33" s="191"/>
      <c r="M33" s="191"/>
      <c r="N33" s="191"/>
      <c r="O33" s="191"/>
      <c r="P33" s="191"/>
      <c r="Q33" s="191"/>
      <c r="R33" s="191"/>
      <c r="S33" s="191"/>
      <c r="T33" s="191"/>
    </row>
    <row r="34">
      <c r="B34" s="465"/>
      <c r="C34" s="199"/>
      <c r="D34" s="469" t="s">
        <v>31</v>
      </c>
      <c r="E34" s="469"/>
      <c r="F34" s="252">
        <f>F26+F27+F28+F29</f>
      </c>
      <c r="G34" s="252">
        <f t="shared" ref="G34:Q34" si="13">G26+G27+G28+G29</f>
      </c>
      <c r="H34" s="252">
        <f t="shared" si="13"/>
      </c>
      <c r="I34" s="252">
        <f t="shared" si="13"/>
      </c>
      <c r="J34" s="252">
        <f t="shared" si="13"/>
      </c>
      <c r="K34" s="252">
        <f t="shared" si="13"/>
      </c>
      <c r="L34" s="252">
        <f t="shared" si="13"/>
      </c>
      <c r="M34" s="252">
        <f t="shared" si="13"/>
      </c>
      <c r="N34" s="252">
        <f t="shared" si="13"/>
      </c>
      <c r="O34" s="252">
        <f t="shared" si="13"/>
      </c>
      <c r="P34" s="252">
        <f t="shared" si="13"/>
      </c>
      <c r="Q34" s="252">
        <f t="shared" si="13"/>
      </c>
      <c r="R34" s="252">
        <f t="shared" ref="R34:T34" si="14">R26+R27+R28+R29</f>
      </c>
      <c r="S34" s="252">
        <f t="shared" si="14"/>
      </c>
      <c r="T34" s="252">
        <f t="shared" si="14"/>
      </c>
    </row>
    <row r="35">
      <c r="B35" s="465"/>
      <c r="C35" s="199">
        <f t="shared" si="4"/>
      </c>
      <c r="D35" s="469" t="s">
        <v>32</v>
      </c>
      <c r="E35" s="469"/>
      <c r="F35" s="252">
        <f>F30+F31+F32+F33</f>
      </c>
      <c r="G35" s="252">
        <f t="shared" ref="G35:Q35" si="15">G30+G31+G32+G33</f>
      </c>
      <c r="H35" s="252">
        <f t="shared" si="15"/>
      </c>
      <c r="I35" s="252">
        <f t="shared" si="15"/>
      </c>
      <c r="J35" s="252">
        <f t="shared" si="15"/>
      </c>
      <c r="K35" s="252">
        <f t="shared" si="15"/>
      </c>
      <c r="L35" s="252">
        <f t="shared" si="15"/>
      </c>
      <c r="M35" s="252">
        <f t="shared" si="15"/>
      </c>
      <c r="N35" s="252">
        <f t="shared" si="15"/>
      </c>
      <c r="O35" s="252">
        <f t="shared" si="15"/>
      </c>
      <c r="P35" s="252">
        <f t="shared" si="15"/>
      </c>
      <c r="Q35" s="252">
        <f t="shared" si="15"/>
      </c>
      <c r="R35" s="252">
        <f t="shared" ref="R35:T35" si="16">R30+R31+R32+R33</f>
      </c>
      <c r="S35" s="252">
        <f t="shared" si="16"/>
      </c>
      <c r="T35" s="252">
        <f t="shared" si="16"/>
      </c>
    </row>
    <row r="36">
      <c r="B36" s="445" t="s">
        <v>33</v>
      </c>
      <c r="C36" s="201">
        <f t="shared" si="4"/>
      </c>
      <c r="D36" s="447" t="s">
        <v>15</v>
      </c>
      <c r="E36" s="202" t="s">
        <v>16</v>
      </c>
      <c r="F36" s="191"/>
      <c r="G36" s="191"/>
      <c r="H36" s="191"/>
      <c r="I36" s="191"/>
      <c r="J36" s="191"/>
      <c r="K36" s="191"/>
      <c r="L36" s="191"/>
      <c r="M36" s="191"/>
      <c r="N36" s="191"/>
      <c r="O36" s="191"/>
      <c r="P36" s="191"/>
      <c r="Q36" s="191"/>
      <c r="R36" s="191"/>
      <c r="S36" s="191"/>
      <c r="T36" s="191"/>
    </row>
    <row r="37">
      <c r="B37" s="445"/>
      <c r="C37" s="201">
        <f t="shared" si="4"/>
      </c>
      <c r="D37" s="448"/>
      <c r="E37" s="202" t="s">
        <v>17</v>
      </c>
      <c r="F37" s="191"/>
      <c r="G37" s="191"/>
      <c r="H37" s="191"/>
      <c r="I37" s="191"/>
      <c r="J37" s="191"/>
      <c r="K37" s="191"/>
      <c r="L37" s="191"/>
      <c r="M37" s="191"/>
      <c r="N37" s="191"/>
      <c r="O37" s="191"/>
      <c r="P37" s="191"/>
      <c r="Q37" s="191"/>
      <c r="R37" s="191"/>
      <c r="S37" s="191"/>
      <c r="T37" s="191"/>
    </row>
    <row r="38">
      <c r="B38" s="445"/>
      <c r="C38" s="201">
        <f t="shared" si="4"/>
      </c>
      <c r="D38" s="448"/>
      <c r="E38" s="202" t="s">
        <v>18</v>
      </c>
      <c r="F38" s="191"/>
      <c r="G38" s="191"/>
      <c r="H38" s="191"/>
      <c r="I38" s="191"/>
      <c r="J38" s="191"/>
      <c r="K38" s="191"/>
      <c r="L38" s="191"/>
      <c r="M38" s="191"/>
      <c r="N38" s="191"/>
      <c r="O38" s="191"/>
      <c r="P38" s="191"/>
      <c r="Q38" s="191"/>
      <c r="R38" s="191"/>
      <c r="S38" s="191"/>
      <c r="T38" s="191"/>
    </row>
    <row r="39">
      <c r="B39" s="445"/>
      <c r="C39" s="201">
        <f t="shared" si="4"/>
      </c>
      <c r="D39" s="449"/>
      <c r="E39" s="202" t="s">
        <v>19</v>
      </c>
      <c r="F39" s="191"/>
      <c r="G39" s="191"/>
      <c r="H39" s="191"/>
      <c r="I39" s="191"/>
      <c r="J39" s="191"/>
      <c r="K39" s="191"/>
      <c r="L39" s="191"/>
      <c r="M39" s="191"/>
      <c r="N39" s="191"/>
      <c r="O39" s="191"/>
      <c r="P39" s="191"/>
      <c r="Q39" s="191"/>
      <c r="R39" s="191"/>
      <c r="S39" s="191"/>
      <c r="T39" s="191"/>
    </row>
    <row r="40">
      <c r="B40" s="445"/>
      <c r="C40" s="201">
        <f t="shared" si="4"/>
      </c>
      <c r="D40" s="447" t="s">
        <v>20</v>
      </c>
      <c r="E40" s="202" t="s">
        <v>21</v>
      </c>
      <c r="F40" s="191"/>
      <c r="G40" s="191"/>
      <c r="H40" s="191"/>
      <c r="I40" s="191"/>
      <c r="J40" s="191"/>
      <c r="K40" s="191"/>
      <c r="L40" s="191"/>
      <c r="M40" s="191"/>
      <c r="N40" s="191"/>
      <c r="O40" s="191"/>
      <c r="P40" s="191"/>
      <c r="Q40" s="191"/>
      <c r="R40" s="191"/>
      <c r="S40" s="191"/>
      <c r="T40" s="191"/>
    </row>
    <row r="41">
      <c r="B41" s="445"/>
      <c r="C41" s="201">
        <f t="shared" si="4"/>
      </c>
      <c r="D41" s="448"/>
      <c r="E41" s="202" t="s">
        <v>22</v>
      </c>
      <c r="F41" s="191"/>
      <c r="G41" s="191"/>
      <c r="H41" s="191"/>
      <c r="I41" s="191"/>
      <c r="J41" s="191"/>
      <c r="K41" s="191"/>
      <c r="L41" s="191"/>
      <c r="M41" s="191"/>
      <c r="N41" s="191"/>
      <c r="O41" s="191"/>
      <c r="P41" s="191"/>
      <c r="Q41" s="191"/>
      <c r="R41" s="191"/>
      <c r="S41" s="191"/>
      <c r="T41" s="191"/>
    </row>
    <row r="42">
      <c r="B42" s="445"/>
      <c r="C42" s="201">
        <f t="shared" si="4"/>
      </c>
      <c r="D42" s="448"/>
      <c r="E42" s="202" t="s">
        <v>23</v>
      </c>
      <c r="F42" s="191"/>
      <c r="G42" s="191"/>
      <c r="H42" s="191"/>
      <c r="I42" s="191"/>
      <c r="J42" s="191"/>
      <c r="K42" s="191"/>
      <c r="L42" s="191"/>
      <c r="M42" s="191"/>
      <c r="N42" s="191"/>
      <c r="O42" s="191"/>
      <c r="P42" s="191"/>
      <c r="Q42" s="191"/>
      <c r="R42" s="191"/>
      <c r="S42" s="191"/>
      <c r="T42" s="191"/>
    </row>
    <row r="43">
      <c r="B43" s="445"/>
      <c r="C43" s="201">
        <f t="shared" si="4"/>
      </c>
      <c r="D43" s="448"/>
      <c r="E43" s="202" t="s">
        <v>24</v>
      </c>
      <c r="F43" s="191"/>
      <c r="G43" s="191"/>
      <c r="H43" s="191"/>
      <c r="I43" s="191"/>
      <c r="J43" s="191"/>
      <c r="K43" s="191"/>
      <c r="L43" s="191"/>
      <c r="M43" s="191"/>
      <c r="N43" s="191"/>
      <c r="O43" s="191"/>
      <c r="P43" s="191"/>
      <c r="Q43" s="191"/>
      <c r="R43" s="191"/>
      <c r="S43" s="191"/>
      <c r="T43" s="191"/>
    </row>
    <row r="44">
      <c r="B44" s="446"/>
      <c r="C44" s="201"/>
      <c r="D44" s="452" t="s">
        <v>34</v>
      </c>
      <c r="E44" s="452"/>
      <c r="F44" s="203">
        <f>F36+F37+F38+F39</f>
      </c>
      <c r="G44" s="203">
        <f t="shared" ref="G44:Q44" si="17">G36+G37+G38+G39</f>
      </c>
      <c r="H44" s="203">
        <f t="shared" si="17"/>
      </c>
      <c r="I44" s="203">
        <f t="shared" si="17"/>
      </c>
      <c r="J44" s="203">
        <f t="shared" si="17"/>
      </c>
      <c r="K44" s="203">
        <f t="shared" si="17"/>
      </c>
      <c r="L44" s="203">
        <f t="shared" si="17"/>
      </c>
      <c r="M44" s="203">
        <f t="shared" si="17"/>
      </c>
      <c r="N44" s="203">
        <f t="shared" si="17"/>
      </c>
      <c r="O44" s="203">
        <f t="shared" si="17"/>
      </c>
      <c r="P44" s="203">
        <f t="shared" si="17"/>
      </c>
      <c r="Q44" s="203">
        <f t="shared" si="17"/>
      </c>
      <c r="R44" s="203">
        <f t="shared" ref="R44:T44" si="18">R36+R37+R38+R39</f>
      </c>
      <c r="S44" s="203">
        <f t="shared" si="18"/>
      </c>
      <c r="T44" s="203">
        <f t="shared" si="18"/>
      </c>
    </row>
    <row r="45">
      <c r="B45" s="446"/>
      <c r="C45" s="201">
        <f t="shared" si="4"/>
      </c>
      <c r="D45" s="452" t="s">
        <v>35</v>
      </c>
      <c r="E45" s="452"/>
      <c r="F45" s="203">
        <f>F40+F41+F42+F43</f>
      </c>
      <c r="G45" s="203">
        <f t="shared" ref="G45:Q45" si="19">G40+G41+G42+G43</f>
      </c>
      <c r="H45" s="203">
        <f t="shared" si="19"/>
      </c>
      <c r="I45" s="203">
        <f t="shared" si="19"/>
      </c>
      <c r="J45" s="203">
        <f t="shared" si="19"/>
      </c>
      <c r="K45" s="203">
        <f t="shared" si="19"/>
      </c>
      <c r="L45" s="203">
        <f t="shared" si="19"/>
      </c>
      <c r="M45" s="203">
        <f t="shared" si="19"/>
      </c>
      <c r="N45" s="203">
        <f t="shared" si="19"/>
      </c>
      <c r="O45" s="203">
        <f t="shared" si="19"/>
      </c>
      <c r="P45" s="203">
        <f t="shared" si="19"/>
      </c>
      <c r="Q45" s="203">
        <f t="shared" si="19"/>
      </c>
      <c r="R45" s="203">
        <f t="shared" ref="R45:T45" si="20">R40+R41+R42+R43</f>
      </c>
      <c r="S45" s="203">
        <f t="shared" si="20"/>
      </c>
      <c r="T45" s="203">
        <f t="shared" si="20"/>
      </c>
    </row>
    <row r="46">
      <c r="B46" s="427" t="s">
        <v>36</v>
      </c>
      <c r="C46" s="204">
        <f t="shared" ref="C46:C53" si="21">TEXT(B46,"yyyy")</f>
      </c>
      <c r="D46" s="429" t="s">
        <v>15</v>
      </c>
      <c r="E46" s="205" t="s">
        <v>16</v>
      </c>
      <c r="F46" s="191"/>
      <c r="G46" s="191"/>
      <c r="H46" s="191"/>
      <c r="I46" s="191"/>
      <c r="J46" s="191"/>
      <c r="K46" s="191"/>
      <c r="L46" s="191"/>
      <c r="M46" s="191"/>
      <c r="N46" s="191"/>
      <c r="O46" s="191"/>
      <c r="P46" s="191"/>
      <c r="Q46" s="191"/>
      <c r="R46" s="191"/>
      <c r="S46" s="191"/>
      <c r="T46" s="191"/>
    </row>
    <row r="47">
      <c r="B47" s="427"/>
      <c r="C47" s="204">
        <f t="shared" si="21"/>
      </c>
      <c r="D47" s="430"/>
      <c r="E47" s="205" t="s">
        <v>17</v>
      </c>
      <c r="F47" s="191"/>
      <c r="G47" s="191"/>
      <c r="H47" s="191"/>
      <c r="I47" s="191"/>
      <c r="J47" s="191"/>
      <c r="K47" s="191"/>
      <c r="L47" s="191"/>
      <c r="M47" s="191"/>
      <c r="N47" s="191"/>
      <c r="O47" s="191"/>
      <c r="P47" s="191"/>
      <c r="Q47" s="191"/>
      <c r="R47" s="191"/>
      <c r="S47" s="191"/>
      <c r="T47" s="191"/>
    </row>
    <row r="48">
      <c r="B48" s="427"/>
      <c r="C48" s="204">
        <f t="shared" si="21"/>
      </c>
      <c r="D48" s="430"/>
      <c r="E48" s="205" t="s">
        <v>18</v>
      </c>
      <c r="F48" s="191"/>
      <c r="G48" s="191"/>
      <c r="H48" s="191"/>
      <c r="I48" s="191"/>
      <c r="J48" s="191"/>
      <c r="K48" s="191"/>
      <c r="L48" s="191"/>
      <c r="M48" s="191"/>
      <c r="N48" s="191"/>
      <c r="O48" s="191"/>
      <c r="P48" s="191"/>
      <c r="Q48" s="191"/>
      <c r="R48" s="191"/>
      <c r="S48" s="191"/>
      <c r="T48" s="191"/>
    </row>
    <row r="49">
      <c r="B49" s="427"/>
      <c r="C49" s="204">
        <f t="shared" si="21"/>
      </c>
      <c r="D49" s="431"/>
      <c r="E49" s="205" t="s">
        <v>19</v>
      </c>
      <c r="F49" s="191"/>
      <c r="G49" s="191"/>
      <c r="H49" s="191"/>
      <c r="I49" s="191"/>
      <c r="J49" s="191"/>
      <c r="K49" s="191"/>
      <c r="L49" s="191"/>
      <c r="M49" s="191"/>
      <c r="N49" s="191"/>
      <c r="O49" s="191"/>
      <c r="P49" s="191"/>
      <c r="Q49" s="191"/>
      <c r="R49" s="191"/>
      <c r="S49" s="191"/>
      <c r="T49" s="191"/>
      <c r="U49" s="197"/>
      <c r="V49" s="197"/>
      <c r="W49" s="197"/>
      <c r="X49" s="197"/>
      <c r="Y49" s="197"/>
      <c r="Z49" s="197"/>
      <c r="AA49" s="197"/>
      <c r="AB49" s="197"/>
      <c r="AC49" s="29"/>
      <c r="AD49" s="29"/>
      <c r="AE49" s="29"/>
      <c r="AF49" s="29"/>
      <c r="AG49" s="29"/>
      <c r="AH49" s="29"/>
      <c r="AI49" s="29"/>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row>
    <row r="50">
      <c r="B50" s="427"/>
      <c r="C50" s="204">
        <f t="shared" si="21"/>
      </c>
      <c r="D50" s="429" t="s">
        <v>20</v>
      </c>
      <c r="E50" s="205" t="s">
        <v>21</v>
      </c>
      <c r="F50" s="191"/>
      <c r="G50" s="191"/>
      <c r="H50" s="191"/>
      <c r="I50" s="191"/>
      <c r="J50" s="191"/>
      <c r="K50" s="191"/>
      <c r="L50" s="191"/>
      <c r="M50" s="191"/>
      <c r="N50" s="191"/>
      <c r="O50" s="191"/>
      <c r="P50" s="191"/>
      <c r="Q50" s="191"/>
      <c r="R50" s="191"/>
      <c r="S50" s="191"/>
      <c r="T50" s="191"/>
      <c r="U50" s="197"/>
      <c r="V50" s="197"/>
      <c r="W50" s="197"/>
      <c r="X50" s="197"/>
      <c r="Y50" s="197"/>
      <c r="Z50" s="197"/>
      <c r="AA50" s="197"/>
      <c r="AB50" s="197"/>
      <c r="AC50" s="29"/>
      <c r="AD50" s="29"/>
      <c r="AE50" s="29"/>
      <c r="AF50" s="29"/>
      <c r="AG50" s="29"/>
      <c r="AH50" s="29"/>
      <c r="AI50" s="29"/>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row>
    <row r="51">
      <c r="B51" s="427"/>
      <c r="C51" s="204">
        <f t="shared" si="21"/>
      </c>
      <c r="D51" s="430"/>
      <c r="E51" s="205" t="s">
        <v>22</v>
      </c>
      <c r="F51" s="191"/>
      <c r="G51" s="191"/>
      <c r="H51" s="191"/>
      <c r="I51" s="191"/>
      <c r="J51" s="191"/>
      <c r="K51" s="191"/>
      <c r="L51" s="191"/>
      <c r="M51" s="191"/>
      <c r="N51" s="191"/>
      <c r="O51" s="191"/>
      <c r="P51" s="191"/>
      <c r="Q51" s="191"/>
      <c r="R51" s="191"/>
      <c r="S51" s="191"/>
      <c r="T51" s="191"/>
      <c r="U51" s="197"/>
      <c r="V51" s="197"/>
      <c r="W51" s="197"/>
      <c r="X51" s="197"/>
      <c r="Y51" s="197"/>
      <c r="Z51" s="197"/>
      <c r="AA51" s="197"/>
      <c r="AB51" s="197"/>
      <c r="AC51" s="29"/>
      <c r="AD51" s="29"/>
      <c r="AE51" s="29"/>
      <c r="AF51" s="29"/>
      <c r="AG51" s="29"/>
      <c r="AH51" s="29"/>
      <c r="AI51" s="29"/>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row>
    <row r="52">
      <c r="B52" s="427"/>
      <c r="C52" s="204">
        <f t="shared" si="21"/>
      </c>
      <c r="D52" s="430"/>
      <c r="E52" s="205" t="s">
        <v>23</v>
      </c>
      <c r="F52" s="191"/>
      <c r="G52" s="191"/>
      <c r="H52" s="191"/>
      <c r="I52" s="191"/>
      <c r="J52" s="191"/>
      <c r="K52" s="191"/>
      <c r="L52" s="191"/>
      <c r="M52" s="191"/>
      <c r="N52" s="191"/>
      <c r="O52" s="191"/>
      <c r="P52" s="191"/>
      <c r="Q52" s="191"/>
      <c r="R52" s="191"/>
      <c r="S52" s="191"/>
      <c r="T52" s="191"/>
      <c r="U52" s="197"/>
      <c r="V52" s="197"/>
      <c r="W52" s="197"/>
      <c r="X52" s="197"/>
      <c r="Y52" s="197"/>
      <c r="Z52" s="197"/>
      <c r="AA52" s="197"/>
      <c r="AB52" s="197"/>
      <c r="AC52" s="29"/>
      <c r="AD52" s="29"/>
      <c r="AE52" s="29"/>
      <c r="AF52" s="29"/>
      <c r="AG52" s="29"/>
      <c r="AH52" s="29"/>
      <c r="AI52" s="29"/>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row>
    <row r="53">
      <c r="B53" s="427"/>
      <c r="C53" s="204">
        <f t="shared" si="21"/>
      </c>
      <c r="D53" s="430"/>
      <c r="E53" s="205" t="s">
        <v>24</v>
      </c>
      <c r="F53" s="191"/>
      <c r="G53" s="191"/>
      <c r="H53" s="191"/>
      <c r="I53" s="191"/>
      <c r="J53" s="191"/>
      <c r="K53" s="191"/>
      <c r="L53" s="191"/>
      <c r="M53" s="191"/>
      <c r="N53" s="191"/>
      <c r="O53" s="191"/>
      <c r="P53" s="191"/>
      <c r="Q53" s="191"/>
      <c r="R53" s="191"/>
      <c r="S53" s="191"/>
      <c r="T53" s="191"/>
      <c r="U53" s="197"/>
      <c r="V53" s="197"/>
      <c r="W53" s="197"/>
      <c r="X53" s="197"/>
      <c r="Y53" s="197"/>
      <c r="Z53" s="197"/>
      <c r="AA53" s="197"/>
      <c r="AB53" s="197"/>
      <c r="AC53" s="29"/>
      <c r="AD53" s="29"/>
      <c r="AE53" s="29"/>
      <c r="AF53" s="29"/>
      <c r="AG53" s="29"/>
      <c r="AH53" s="29"/>
      <c r="AI53" s="29"/>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row>
    <row r="54">
      <c r="B54" s="428"/>
      <c r="C54" s="204"/>
      <c r="D54" s="432" t="s">
        <v>37</v>
      </c>
      <c r="E54" s="432"/>
      <c r="F54" s="206">
        <f>F46+F47+F48+F49</f>
      </c>
      <c r="G54" s="206">
        <f t="shared" ref="G54:Q54" si="22">G46+G47+G48+G49</f>
      </c>
      <c r="H54" s="206">
        <f t="shared" si="22"/>
      </c>
      <c r="I54" s="206">
        <f t="shared" si="22"/>
      </c>
      <c r="J54" s="206">
        <f t="shared" si="22"/>
      </c>
      <c r="K54" s="206">
        <f t="shared" si="22"/>
      </c>
      <c r="L54" s="206">
        <f t="shared" si="22"/>
      </c>
      <c r="M54" s="206">
        <f t="shared" si="22"/>
      </c>
      <c r="N54" s="206">
        <f t="shared" si="22"/>
      </c>
      <c r="O54" s="206">
        <f t="shared" si="22"/>
      </c>
      <c r="P54" s="206">
        <f t="shared" si="22"/>
      </c>
      <c r="Q54" s="206">
        <f t="shared" si="22"/>
      </c>
      <c r="R54" s="206">
        <f t="shared" ref="R54:T54" si="23">R46+R47+R48+R49</f>
      </c>
      <c r="S54" s="206">
        <f t="shared" si="23"/>
      </c>
      <c r="T54" s="206">
        <f t="shared" si="23"/>
      </c>
      <c r="U54" s="197"/>
      <c r="V54" s="197"/>
      <c r="W54" s="197"/>
      <c r="X54" s="197"/>
      <c r="Y54" s="197"/>
      <c r="Z54" s="197"/>
      <c r="AA54" s="197"/>
      <c r="AB54" s="197"/>
      <c r="AC54" s="29"/>
      <c r="AD54" s="29"/>
      <c r="AE54" s="29"/>
      <c r="AF54" s="29"/>
      <c r="AG54" s="29"/>
      <c r="AH54" s="29"/>
      <c r="AI54" s="29"/>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row>
    <row r="55">
      <c r="B55" s="428"/>
      <c r="C55" s="204">
        <f t="shared" ref="C55" si="24">TEXT(B55,"yyyy")</f>
      </c>
      <c r="D55" s="432" t="s">
        <v>38</v>
      </c>
      <c r="E55" s="432"/>
      <c r="F55" s="206">
        <f>F50+F51+F52+F53</f>
      </c>
      <c r="G55" s="206">
        <f t="shared" ref="G55:Q55" si="25">G50+G51+G52+G53</f>
      </c>
      <c r="H55" s="206">
        <f t="shared" si="25"/>
      </c>
      <c r="I55" s="206">
        <f t="shared" si="25"/>
      </c>
      <c r="J55" s="206">
        <f t="shared" si="25"/>
      </c>
      <c r="K55" s="206">
        <f t="shared" si="25"/>
      </c>
      <c r="L55" s="206">
        <f t="shared" si="25"/>
      </c>
      <c r="M55" s="206">
        <f t="shared" si="25"/>
      </c>
      <c r="N55" s="206">
        <f t="shared" si="25"/>
      </c>
      <c r="O55" s="206">
        <f t="shared" si="25"/>
      </c>
      <c r="P55" s="206">
        <f t="shared" si="25"/>
      </c>
      <c r="Q55" s="206">
        <f t="shared" si="25"/>
      </c>
      <c r="R55" s="206">
        <f t="shared" ref="R55:T55" si="26">R50+R51+R52+R53</f>
      </c>
      <c r="S55" s="206">
        <f t="shared" si="26"/>
      </c>
      <c r="T55" s="206">
        <f t="shared" si="26"/>
      </c>
      <c r="U55" s="197"/>
      <c r="V55" s="197"/>
      <c r="W55" s="197"/>
      <c r="X55" s="197"/>
      <c r="Y55" s="197"/>
      <c r="Z55" s="197"/>
      <c r="AA55" s="197"/>
      <c r="AB55" s="197"/>
      <c r="AC55" s="29"/>
      <c r="AD55" s="29"/>
      <c r="AE55" s="29"/>
      <c r="AF55" s="29"/>
      <c r="AG55" s="29"/>
      <c r="AH55" s="29"/>
      <c r="AI55" s="29"/>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row>
    <row r="56">
      <c r="B56" s="461" t="s">
        <v>39</v>
      </c>
      <c r="C56" s="207">
        <f t="shared" si="4"/>
      </c>
      <c r="D56" s="457" t="s">
        <v>15</v>
      </c>
      <c r="E56" s="208" t="s">
        <v>16</v>
      </c>
      <c r="F56" s="209">
        <f>F6+F16+F26+F36+F46</f>
      </c>
      <c r="G56" s="209">
        <f t="shared" ref="G56:T56" si="27">G6+G16+G26+G36+G46</f>
      </c>
      <c r="H56" s="209">
        <f t="shared" si="27"/>
      </c>
      <c r="I56" s="209">
        <f t="shared" si="27"/>
      </c>
      <c r="J56" s="209">
        <f t="shared" si="27"/>
      </c>
      <c r="K56" s="209">
        <f t="shared" si="27"/>
      </c>
      <c r="L56" s="209">
        <f t="shared" si="27"/>
      </c>
      <c r="M56" s="209">
        <f t="shared" si="27"/>
      </c>
      <c r="N56" s="209">
        <f t="shared" si="27"/>
      </c>
      <c r="O56" s="209">
        <f t="shared" si="27"/>
      </c>
      <c r="P56" s="209">
        <f t="shared" si="27"/>
      </c>
      <c r="Q56" s="209">
        <f t="shared" si="27"/>
      </c>
      <c r="R56" s="209">
        <f t="shared" si="27"/>
      </c>
      <c r="S56" s="209">
        <f t="shared" si="27"/>
      </c>
      <c r="T56" s="209">
        <f t="shared" si="27"/>
      </c>
      <c r="U56" s="197"/>
      <c r="V56" s="197"/>
      <c r="W56" s="197"/>
      <c r="X56" s="197"/>
      <c r="Y56" s="197"/>
      <c r="Z56" s="197"/>
      <c r="AA56" s="197"/>
      <c r="AB56" s="197"/>
      <c r="AC56" s="29"/>
      <c r="AD56" s="29"/>
      <c r="AE56" s="29"/>
      <c r="AF56" s="29"/>
      <c r="AG56" s="29"/>
      <c r="AH56" s="29"/>
      <c r="AI56" s="29"/>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FA56" s="456" t="s">
        <v>15</v>
      </c>
      <c r="FB56" s="255" t="s">
        <v>16</v>
      </c>
    </row>
    <row r="57">
      <c r="B57" s="462"/>
      <c r="C57" s="207">
        <f t="shared" si="4"/>
      </c>
      <c r="D57" s="457"/>
      <c r="E57" s="208" t="s">
        <v>17</v>
      </c>
      <c r="F57" s="209">
        <f t="shared" ref="F57:T59" si="28">F7+F17+F27+F37+F47</f>
      </c>
      <c r="G57" s="209">
        <f t="shared" si="28"/>
      </c>
      <c r="H57" s="209">
        <f t="shared" si="28"/>
      </c>
      <c r="I57" s="209">
        <f t="shared" si="28"/>
      </c>
      <c r="J57" s="209">
        <f t="shared" si="28"/>
      </c>
      <c r="K57" s="209">
        <f t="shared" si="28"/>
      </c>
      <c r="L57" s="209">
        <f t="shared" si="28"/>
      </c>
      <c r="M57" s="209">
        <f t="shared" si="28"/>
      </c>
      <c r="N57" s="209">
        <f t="shared" si="28"/>
      </c>
      <c r="O57" s="209">
        <f t="shared" si="28"/>
      </c>
      <c r="P57" s="209">
        <f t="shared" si="28"/>
      </c>
      <c r="Q57" s="209">
        <f t="shared" si="28"/>
      </c>
      <c r="R57" s="209">
        <f t="shared" si="28"/>
      </c>
      <c r="S57" s="209">
        <f t="shared" si="28"/>
      </c>
      <c r="T57" s="209">
        <f t="shared" si="28"/>
      </c>
      <c r="U57" s="197"/>
      <c r="V57" s="197"/>
      <c r="W57" s="197"/>
      <c r="X57" s="197"/>
      <c r="Y57" s="197"/>
      <c r="Z57" s="197"/>
      <c r="AA57" s="197"/>
      <c r="AB57" s="197"/>
      <c r="AC57" s="29"/>
      <c r="AD57" s="29"/>
      <c r="AE57" s="29"/>
      <c r="AF57" s="29"/>
      <c r="AG57" s="29"/>
      <c r="AH57" s="29"/>
      <c r="AI57" s="29"/>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FA57" s="456"/>
      <c r="FB57" s="255" t="s">
        <v>17</v>
      </c>
    </row>
    <row r="58">
      <c r="B58" s="462"/>
      <c r="C58" s="207">
        <f t="shared" si="4"/>
      </c>
      <c r="D58" s="457"/>
      <c r="E58" s="208" t="s">
        <v>18</v>
      </c>
      <c r="F58" s="209">
        <f t="shared" si="28"/>
      </c>
      <c r="G58" s="209">
        <f t="shared" si="28"/>
      </c>
      <c r="H58" s="209">
        <f t="shared" si="28"/>
      </c>
      <c r="I58" s="209">
        <f t="shared" si="28"/>
      </c>
      <c r="J58" s="209">
        <f t="shared" si="28"/>
      </c>
      <c r="K58" s="209">
        <f t="shared" si="28"/>
      </c>
      <c r="L58" s="209">
        <f t="shared" si="28"/>
      </c>
      <c r="M58" s="209">
        <f t="shared" si="28"/>
      </c>
      <c r="N58" s="209">
        <f t="shared" si="28"/>
      </c>
      <c r="O58" s="209">
        <f t="shared" si="28"/>
      </c>
      <c r="P58" s="209">
        <f t="shared" si="28"/>
      </c>
      <c r="Q58" s="209">
        <f t="shared" si="28"/>
      </c>
      <c r="R58" s="209">
        <f t="shared" si="28"/>
      </c>
      <c r="S58" s="209">
        <f t="shared" si="28"/>
      </c>
      <c r="T58" s="209">
        <f t="shared" si="28"/>
      </c>
      <c r="U58" s="197"/>
      <c r="V58" s="197"/>
      <c r="W58" s="197"/>
      <c r="X58" s="197"/>
      <c r="Y58" s="197"/>
      <c r="Z58" s="197"/>
      <c r="AA58" s="197"/>
      <c r="AB58" s="197"/>
      <c r="AC58" s="29"/>
      <c r="AD58" s="29"/>
      <c r="AE58" s="29"/>
      <c r="AF58" s="29"/>
      <c r="AG58" s="29"/>
      <c r="AH58" s="29"/>
      <c r="AI58" s="29"/>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FA58" s="456"/>
      <c r="FB58" s="255" t="s">
        <v>18</v>
      </c>
    </row>
    <row r="59">
      <c r="B59" s="462"/>
      <c r="C59" s="207">
        <f t="shared" si="4"/>
      </c>
      <c r="D59" s="457"/>
      <c r="E59" s="208" t="s">
        <v>19</v>
      </c>
      <c r="F59" s="209">
        <f t="shared" si="28"/>
      </c>
      <c r="G59" s="209">
        <f t="shared" si="28"/>
      </c>
      <c r="H59" s="209">
        <f t="shared" si="28"/>
      </c>
      <c r="I59" s="209">
        <f t="shared" si="28"/>
      </c>
      <c r="J59" s="209">
        <f t="shared" si="28"/>
      </c>
      <c r="K59" s="209">
        <f t="shared" si="28"/>
      </c>
      <c r="L59" s="209">
        <f t="shared" si="28"/>
      </c>
      <c r="M59" s="209">
        <f t="shared" si="28"/>
      </c>
      <c r="N59" s="209">
        <f t="shared" si="28"/>
      </c>
      <c r="O59" s="209">
        <f t="shared" si="28"/>
      </c>
      <c r="P59" s="209">
        <f t="shared" si="28"/>
      </c>
      <c r="Q59" s="209">
        <f t="shared" si="28"/>
      </c>
      <c r="R59" s="209">
        <f t="shared" si="28"/>
      </c>
      <c r="S59" s="209">
        <f t="shared" si="28"/>
      </c>
      <c r="T59" s="209">
        <f t="shared" si="28"/>
      </c>
      <c r="U59" s="197"/>
      <c r="V59" s="197"/>
      <c r="W59" s="197"/>
      <c r="X59" s="197"/>
      <c r="Y59" s="197"/>
      <c r="Z59" s="197"/>
      <c r="AA59" s="197"/>
      <c r="AB59" s="197"/>
      <c r="AC59" s="29"/>
      <c r="AD59" s="29"/>
      <c r="AE59" s="29"/>
      <c r="AF59" s="29"/>
      <c r="AG59" s="29"/>
      <c r="AH59" s="29"/>
      <c r="AI59" s="29"/>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FA59" s="456"/>
      <c r="FB59" s="255" t="s">
        <v>19</v>
      </c>
    </row>
    <row r="60">
      <c r="B60" s="462"/>
      <c r="C60" s="207">
        <f t="shared" si="4"/>
      </c>
      <c r="D60" s="457" t="s">
        <v>20</v>
      </c>
      <c r="E60" s="208" t="s">
        <v>21</v>
      </c>
      <c r="F60" s="209">
        <f>F10+F20+F30+F40+F50</f>
      </c>
      <c r="G60" s="209">
        <f t="shared" ref="G60:T60" si="29">G10+G20+G30+G40+G50</f>
      </c>
      <c r="H60" s="209">
        <f t="shared" si="29"/>
      </c>
      <c r="I60" s="209">
        <f t="shared" si="29"/>
      </c>
      <c r="J60" s="209">
        <f t="shared" si="29"/>
      </c>
      <c r="K60" s="209">
        <f t="shared" si="29"/>
      </c>
      <c r="L60" s="209">
        <f t="shared" si="29"/>
      </c>
      <c r="M60" s="209">
        <f t="shared" si="29"/>
      </c>
      <c r="N60" s="209">
        <f t="shared" si="29"/>
      </c>
      <c r="O60" s="209">
        <f t="shared" si="29"/>
      </c>
      <c r="P60" s="209">
        <f t="shared" si="29"/>
      </c>
      <c r="Q60" s="209">
        <f t="shared" si="29"/>
      </c>
      <c r="R60" s="209">
        <f t="shared" si="29"/>
      </c>
      <c r="S60" s="209">
        <f t="shared" si="29"/>
      </c>
      <c r="T60" s="209">
        <f t="shared" si="29"/>
      </c>
      <c r="U60" s="197"/>
      <c r="V60" s="197"/>
      <c r="W60" s="197"/>
      <c r="X60" s="197"/>
      <c r="Y60" s="197"/>
      <c r="Z60" s="197"/>
      <c r="AA60" s="197"/>
      <c r="AB60" s="197"/>
      <c r="AC60" s="29"/>
      <c r="AD60" s="29"/>
      <c r="AE60" s="29"/>
      <c r="AF60" s="29"/>
      <c r="AG60" s="29"/>
      <c r="AH60" s="29"/>
      <c r="AI60" s="29"/>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FA60" s="456" t="s">
        <v>20</v>
      </c>
      <c r="FB60" s="255" t="s">
        <v>21</v>
      </c>
    </row>
    <row r="61">
      <c r="B61" s="462"/>
      <c r="C61" s="207">
        <f t="shared" si="4"/>
      </c>
      <c r="D61" s="457"/>
      <c r="E61" s="208" t="s">
        <v>22</v>
      </c>
      <c r="F61" s="209">
        <f t="shared" ref="F61:T63" si="30">F11+F21+F31+F41+F51</f>
      </c>
      <c r="G61" s="209">
        <f t="shared" si="30"/>
      </c>
      <c r="H61" s="209">
        <f t="shared" si="30"/>
      </c>
      <c r="I61" s="209">
        <f t="shared" si="30"/>
      </c>
      <c r="J61" s="209">
        <f t="shared" si="30"/>
      </c>
      <c r="K61" s="209">
        <f t="shared" si="30"/>
      </c>
      <c r="L61" s="209">
        <f t="shared" si="30"/>
      </c>
      <c r="M61" s="209">
        <f t="shared" si="30"/>
      </c>
      <c r="N61" s="209">
        <f t="shared" si="30"/>
      </c>
      <c r="O61" s="209">
        <f t="shared" si="30"/>
      </c>
      <c r="P61" s="209">
        <f t="shared" si="30"/>
      </c>
      <c r="Q61" s="209">
        <f t="shared" si="30"/>
      </c>
      <c r="R61" s="209">
        <f t="shared" si="30"/>
      </c>
      <c r="S61" s="209">
        <f t="shared" si="30"/>
      </c>
      <c r="T61" s="209">
        <f t="shared" si="30"/>
      </c>
      <c r="U61" s="197"/>
      <c r="V61" s="197"/>
      <c r="W61" s="197"/>
      <c r="X61" s="197"/>
      <c r="Y61" s="197"/>
      <c r="Z61" s="197"/>
      <c r="AA61" s="197"/>
      <c r="AB61" s="197"/>
      <c r="AC61" s="29"/>
      <c r="AD61" s="29"/>
      <c r="AE61" s="29"/>
      <c r="AF61" s="29"/>
      <c r="AG61" s="29"/>
      <c r="AH61" s="29"/>
      <c r="AI61" s="29"/>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FA61" s="456"/>
      <c r="FB61" s="255" t="s">
        <v>22</v>
      </c>
    </row>
    <row r="62">
      <c r="B62" s="462"/>
      <c r="C62" s="207">
        <f t="shared" si="4"/>
      </c>
      <c r="D62" s="457"/>
      <c r="E62" s="208" t="s">
        <v>23</v>
      </c>
      <c r="F62" s="209">
        <f t="shared" si="30"/>
      </c>
      <c r="G62" s="209">
        <f t="shared" si="30"/>
      </c>
      <c r="H62" s="209">
        <f t="shared" si="30"/>
      </c>
      <c r="I62" s="209">
        <f t="shared" si="30"/>
      </c>
      <c r="J62" s="209">
        <f t="shared" si="30"/>
      </c>
      <c r="K62" s="209">
        <f t="shared" si="30"/>
      </c>
      <c r="L62" s="209">
        <f t="shared" si="30"/>
      </c>
      <c r="M62" s="209">
        <f t="shared" si="30"/>
      </c>
      <c r="N62" s="209">
        <f t="shared" si="30"/>
      </c>
      <c r="O62" s="209">
        <f t="shared" si="30"/>
      </c>
      <c r="P62" s="209">
        <f t="shared" si="30"/>
      </c>
      <c r="Q62" s="209">
        <f t="shared" si="30"/>
      </c>
      <c r="R62" s="209">
        <f t="shared" si="30"/>
      </c>
      <c r="S62" s="209">
        <f t="shared" si="30"/>
      </c>
      <c r="T62" s="209">
        <f t="shared" si="30"/>
      </c>
      <c r="U62" s="197"/>
      <c r="V62" s="197"/>
      <c r="W62" s="197"/>
      <c r="X62" s="197"/>
      <c r="Y62" s="197"/>
      <c r="Z62" s="197"/>
      <c r="AA62" s="197"/>
      <c r="AB62" s="197"/>
      <c r="AC62" s="29"/>
      <c r="AD62" s="29"/>
      <c r="AE62" s="29"/>
      <c r="AF62" s="29"/>
      <c r="AG62" s="29"/>
      <c r="AH62" s="29"/>
      <c r="AI62" s="29"/>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FA62" s="456"/>
      <c r="FB62" s="255" t="s">
        <v>23</v>
      </c>
    </row>
    <row r="63">
      <c r="B63" s="463"/>
      <c r="C63" s="207">
        <f t="shared" si="4"/>
      </c>
      <c r="D63" s="457"/>
      <c r="E63" s="208" t="s">
        <v>24</v>
      </c>
      <c r="F63" s="209">
        <f t="shared" si="30"/>
      </c>
      <c r="G63" s="209">
        <f t="shared" si="30"/>
      </c>
      <c r="H63" s="209">
        <f t="shared" si="30"/>
      </c>
      <c r="I63" s="209">
        <f t="shared" si="30"/>
      </c>
      <c r="J63" s="209">
        <f t="shared" si="30"/>
      </c>
      <c r="K63" s="209">
        <f t="shared" si="30"/>
      </c>
      <c r="L63" s="209">
        <f t="shared" si="30"/>
      </c>
      <c r="M63" s="209">
        <f t="shared" si="30"/>
      </c>
      <c r="N63" s="209">
        <f t="shared" si="30"/>
      </c>
      <c r="O63" s="209">
        <f t="shared" si="30"/>
      </c>
      <c r="P63" s="209">
        <f t="shared" si="30"/>
      </c>
      <c r="Q63" s="209">
        <f t="shared" si="30"/>
      </c>
      <c r="R63" s="209">
        <f t="shared" si="30"/>
      </c>
      <c r="S63" s="209">
        <f t="shared" si="30"/>
      </c>
      <c r="T63" s="209">
        <f t="shared" si="30"/>
      </c>
      <c r="U63" s="197"/>
      <c r="V63" s="197"/>
      <c r="W63" s="197"/>
      <c r="X63" s="197"/>
      <c r="Y63" s="197"/>
      <c r="Z63" s="197"/>
      <c r="AA63" s="197"/>
      <c r="AB63" s="197"/>
      <c r="AC63" s="29"/>
      <c r="AD63" s="29"/>
      <c r="AE63" s="29"/>
      <c r="AF63" s="29"/>
      <c r="AG63" s="29"/>
      <c r="AH63" s="29"/>
      <c r="AI63" s="29"/>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FA63" s="456"/>
      <c r="FB63" s="255" t="s">
        <v>24</v>
      </c>
    </row>
    <row r="64">
      <c r="B64" s="458" t="s">
        <v>40</v>
      </c>
      <c r="C64" s="459"/>
      <c r="D64" s="459"/>
      <c r="E64" s="460"/>
      <c r="F64" s="210">
        <f>F14+F24+F34+F44+F54</f>
      </c>
      <c r="G64" s="210">
        <f t="shared" ref="G64:T64" si="31">G14+G24+G34+G44+G54</f>
      </c>
      <c r="H64" s="210">
        <f t="shared" si="31"/>
      </c>
      <c r="I64" s="210">
        <f t="shared" si="31"/>
      </c>
      <c r="J64" s="210">
        <f t="shared" si="31"/>
      </c>
      <c r="K64" s="210">
        <f t="shared" si="31"/>
      </c>
      <c r="L64" s="210">
        <f t="shared" si="31"/>
      </c>
      <c r="M64" s="210">
        <f t="shared" si="31"/>
      </c>
      <c r="N64" s="210">
        <f t="shared" si="31"/>
      </c>
      <c r="O64" s="210">
        <f t="shared" si="31"/>
      </c>
      <c r="P64" s="210">
        <f t="shared" si="31"/>
      </c>
      <c r="Q64" s="210">
        <f t="shared" si="31"/>
      </c>
      <c r="R64" s="210">
        <f t="shared" si="31"/>
      </c>
      <c r="S64" s="210">
        <f t="shared" si="31"/>
      </c>
      <c r="T64" s="210">
        <f t="shared" si="31"/>
      </c>
      <c r="U64" s="197"/>
      <c r="V64" s="197"/>
      <c r="W64" s="197"/>
      <c r="X64" s="197"/>
      <c r="Y64" s="197"/>
      <c r="Z64" s="197"/>
      <c r="AA64" s="197"/>
      <c r="AB64" s="197"/>
      <c r="AC64" s="29"/>
      <c r="AD64" s="29"/>
      <c r="AE64" s="29"/>
      <c r="AF64" s="29"/>
      <c r="AG64" s="29"/>
      <c r="AH64" s="29"/>
      <c r="AI64" s="29"/>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c r="B65" s="458" t="s">
        <v>41</v>
      </c>
      <c r="C65" s="459"/>
      <c r="D65" s="459"/>
      <c r="E65" s="460"/>
      <c r="F65" s="210">
        <f>F15+F25+F35+F45+F55</f>
      </c>
      <c r="G65" s="210">
        <f t="shared" ref="G65:T65" si="32">G15+G25+G35+G45+G55</f>
      </c>
      <c r="H65" s="210">
        <f t="shared" si="32"/>
      </c>
      <c r="I65" s="210">
        <f t="shared" si="32"/>
      </c>
      <c r="J65" s="210">
        <f t="shared" si="32"/>
      </c>
      <c r="K65" s="210">
        <f t="shared" si="32"/>
      </c>
      <c r="L65" s="210">
        <f t="shared" si="32"/>
      </c>
      <c r="M65" s="210">
        <f t="shared" si="32"/>
      </c>
      <c r="N65" s="210">
        <f t="shared" si="32"/>
      </c>
      <c r="O65" s="210">
        <f t="shared" si="32"/>
      </c>
      <c r="P65" s="210">
        <f t="shared" si="32"/>
      </c>
      <c r="Q65" s="210">
        <f t="shared" si="32"/>
      </c>
      <c r="R65" s="210">
        <f t="shared" si="32"/>
      </c>
      <c r="S65" s="210">
        <f t="shared" si="32"/>
      </c>
      <c r="T65" s="210">
        <f t="shared" si="32"/>
      </c>
    </row>
    <row r="66">
      <c r="B66" s="444" t="s">
        <v>42</v>
      </c>
      <c r="C66" s="444"/>
      <c r="D66" s="444"/>
      <c r="E66" s="444"/>
      <c r="F66" s="211"/>
      <c r="G66" s="211"/>
      <c r="H66" s="211"/>
      <c r="I66" s="211"/>
      <c r="J66" s="211"/>
      <c r="K66" s="211"/>
      <c r="L66" s="211"/>
      <c r="M66" s="211"/>
      <c r="N66" s="211"/>
      <c r="O66" s="211"/>
      <c r="P66" s="211"/>
      <c r="Q66" s="211"/>
      <c r="R66" s="211"/>
      <c r="S66" s="211"/>
      <c r="T66" s="211"/>
    </row>
    <row r="67" ht="42.2" customHeight="1">
      <c r="B67" s="453" t="s">
        <v>43</v>
      </c>
      <c r="C67" s="453"/>
      <c r="D67" s="453"/>
      <c r="E67" s="453"/>
      <c r="F67" s="212"/>
      <c r="G67" s="212"/>
      <c r="H67" s="212"/>
      <c r="I67" s="212"/>
      <c r="J67" s="212"/>
      <c r="K67" s="212"/>
      <c r="L67" s="212"/>
      <c r="M67" s="212"/>
      <c r="N67" s="212"/>
      <c r="O67" s="212"/>
      <c r="P67" s="212"/>
      <c r="Q67" s="212"/>
      <c r="R67" s="212"/>
      <c r="S67" s="212"/>
      <c r="T67" s="212"/>
    </row>
    <row r="68">
      <c r="E68" s="197"/>
      <c r="F68" s="213"/>
      <c r="G68" s="213"/>
      <c r="H68" s="213"/>
      <c r="I68" s="213"/>
      <c r="J68" s="213"/>
      <c r="K68" s="213"/>
      <c r="L68" s="213"/>
      <c r="M68" s="213"/>
      <c r="N68" s="213"/>
      <c r="O68" s="213"/>
      <c r="P68" s="213"/>
      <c r="Q68" s="213"/>
      <c r="R68" s="213"/>
      <c r="S68" s="213"/>
      <c r="T68" s="213"/>
    </row>
    <row r="69">
      <c r="E69" s="197"/>
      <c r="F69" s="213"/>
      <c r="G69" s="213"/>
      <c r="H69" s="213"/>
      <c r="I69" s="213"/>
      <c r="J69" s="213"/>
      <c r="K69" s="213"/>
      <c r="L69" s="213"/>
      <c r="M69" s="213"/>
      <c r="N69" s="213"/>
      <c r="O69" s="213"/>
      <c r="P69" s="213"/>
      <c r="Q69" s="213"/>
      <c r="R69" s="213"/>
      <c r="S69" s="213"/>
      <c r="T69" s="213"/>
    </row>
    <row r="70">
      <c r="B70" s="443" t="s">
        <v>44</v>
      </c>
      <c r="C70" s="443"/>
      <c r="D70" s="443"/>
      <c r="E70" s="443"/>
      <c r="F70" s="214">
        <f t="shared" ref="F70:T70" si="33">F5</f>
      </c>
      <c r="G70" s="214">
        <f t="shared" si="33"/>
      </c>
      <c r="H70" s="214">
        <f t="shared" si="33"/>
      </c>
      <c r="I70" s="214">
        <f t="shared" si="33"/>
      </c>
      <c r="J70" s="214">
        <f t="shared" si="33"/>
      </c>
      <c r="K70" s="214">
        <f t="shared" si="33"/>
      </c>
      <c r="L70" s="214">
        <f t="shared" si="33"/>
      </c>
      <c r="M70" s="214">
        <f t="shared" si="33"/>
      </c>
      <c r="N70" s="214">
        <f t="shared" si="33"/>
      </c>
      <c r="O70" s="214">
        <f t="shared" si="33"/>
      </c>
      <c r="P70" s="214">
        <f t="shared" si="33"/>
      </c>
      <c r="Q70" s="214">
        <f t="shared" si="33"/>
      </c>
      <c r="R70" s="214">
        <f t="shared" si="33"/>
      </c>
      <c r="S70" s="214">
        <f t="shared" si="33"/>
      </c>
      <c r="T70" s="214">
        <f t="shared" si="33"/>
      </c>
    </row>
    <row r="71">
      <c r="B71" s="439" t="s">
        <v>45</v>
      </c>
      <c r="C71" s="215">
        <f t="shared" si="4"/>
      </c>
      <c r="D71" s="215" t="s">
        <v>15</v>
      </c>
      <c r="E71" s="216"/>
      <c r="F71" s="191"/>
      <c r="G71" s="191"/>
      <c r="H71" s="191"/>
      <c r="I71" s="191"/>
      <c r="J71" s="191"/>
      <c r="K71" s="191"/>
      <c r="L71" s="191"/>
      <c r="M71" s="191"/>
      <c r="N71" s="191"/>
      <c r="O71" s="191"/>
      <c r="P71" s="191"/>
      <c r="Q71" s="191"/>
      <c r="R71" s="191"/>
      <c r="S71" s="191"/>
      <c r="T71" s="191"/>
    </row>
    <row r="72">
      <c r="B72" s="440"/>
      <c r="C72" s="215">
        <f t="shared" si="4"/>
      </c>
      <c r="D72" s="215" t="s">
        <v>46</v>
      </c>
      <c r="E72" s="216"/>
      <c r="F72" s="191"/>
      <c r="G72" s="191"/>
      <c r="H72" s="191"/>
      <c r="I72" s="191"/>
      <c r="J72" s="191"/>
      <c r="K72" s="191"/>
      <c r="L72" s="191"/>
      <c r="M72" s="191"/>
      <c r="N72" s="191"/>
      <c r="O72" s="191"/>
      <c r="P72" s="191"/>
      <c r="Q72" s="191"/>
      <c r="R72" s="191"/>
      <c r="S72" s="191"/>
      <c r="T72" s="191"/>
    </row>
    <row r="73">
      <c r="B73" s="439" t="s">
        <v>47</v>
      </c>
      <c r="C73" s="215">
        <f t="shared" si="4"/>
      </c>
      <c r="D73" s="215" t="s">
        <v>15</v>
      </c>
      <c r="E73" s="216"/>
      <c r="F73" s="191"/>
      <c r="G73" s="191"/>
      <c r="H73" s="191"/>
      <c r="I73" s="191"/>
      <c r="J73" s="191"/>
      <c r="K73" s="191"/>
      <c r="L73" s="191"/>
      <c r="M73" s="191"/>
      <c r="N73" s="191"/>
      <c r="O73" s="191"/>
      <c r="P73" s="191"/>
      <c r="Q73" s="191"/>
      <c r="R73" s="191"/>
      <c r="S73" s="191"/>
      <c r="T73" s="191"/>
    </row>
    <row r="74">
      <c r="B74" s="440"/>
      <c r="C74" s="215">
        <f t="shared" si="4"/>
      </c>
      <c r="D74" s="215" t="s">
        <v>46</v>
      </c>
      <c r="E74" s="216"/>
      <c r="F74" s="191"/>
      <c r="G74" s="191"/>
      <c r="H74" s="191"/>
      <c r="I74" s="191"/>
      <c r="J74" s="191"/>
      <c r="K74" s="191"/>
      <c r="L74" s="191"/>
      <c r="M74" s="191"/>
      <c r="N74" s="191"/>
      <c r="O74" s="191"/>
      <c r="P74" s="191"/>
      <c r="Q74" s="191"/>
      <c r="R74" s="191"/>
      <c r="S74" s="191"/>
      <c r="T74" s="191"/>
    </row>
    <row r="75">
      <c r="B75" s="439" t="s">
        <v>48</v>
      </c>
      <c r="C75" s="215">
        <f t="shared" si="4"/>
      </c>
      <c r="D75" s="215" t="s">
        <v>15</v>
      </c>
      <c r="E75" s="216"/>
      <c r="F75" s="191"/>
      <c r="G75" s="191"/>
      <c r="H75" s="191"/>
      <c r="I75" s="191"/>
      <c r="J75" s="191"/>
      <c r="K75" s="191"/>
      <c r="L75" s="191"/>
      <c r="M75" s="191"/>
      <c r="N75" s="191"/>
      <c r="O75" s="191"/>
      <c r="P75" s="191"/>
      <c r="Q75" s="191"/>
      <c r="R75" s="191"/>
      <c r="S75" s="191"/>
      <c r="T75" s="191"/>
    </row>
    <row r="76">
      <c r="B76" s="440"/>
      <c r="C76" s="215">
        <f t="shared" si="4"/>
      </c>
      <c r="D76" s="215" t="s">
        <v>46</v>
      </c>
      <c r="E76" s="216"/>
      <c r="F76" s="191"/>
      <c r="G76" s="191"/>
      <c r="H76" s="191"/>
      <c r="I76" s="191"/>
      <c r="J76" s="191"/>
      <c r="K76" s="191"/>
      <c r="L76" s="191"/>
      <c r="M76" s="191"/>
      <c r="N76" s="191"/>
      <c r="O76" s="191"/>
      <c r="P76" s="191"/>
      <c r="Q76" s="191"/>
      <c r="R76" s="191"/>
      <c r="S76" s="191"/>
      <c r="T76" s="191"/>
    </row>
    <row r="77">
      <c r="B77" s="439" t="s">
        <v>49</v>
      </c>
      <c r="C77" s="215">
        <f t="shared" si="4"/>
      </c>
      <c r="D77" s="215" t="s">
        <v>15</v>
      </c>
      <c r="E77" s="216"/>
      <c r="F77" s="191"/>
      <c r="G77" s="191"/>
      <c r="H77" s="191"/>
      <c r="I77" s="191"/>
      <c r="J77" s="191"/>
      <c r="K77" s="191"/>
      <c r="L77" s="191"/>
      <c r="M77" s="191"/>
      <c r="N77" s="191"/>
      <c r="O77" s="191"/>
      <c r="P77" s="191"/>
      <c r="Q77" s="191"/>
      <c r="R77" s="191"/>
      <c r="S77" s="191"/>
      <c r="T77" s="191"/>
    </row>
    <row r="78">
      <c r="B78" s="440"/>
      <c r="C78" s="215">
        <f t="shared" si="4"/>
      </c>
      <c r="D78" s="215" t="s">
        <v>46</v>
      </c>
      <c r="E78" s="216"/>
      <c r="F78" s="191"/>
      <c r="G78" s="191"/>
      <c r="H78" s="191"/>
      <c r="I78" s="191"/>
      <c r="J78" s="191"/>
      <c r="K78" s="191"/>
      <c r="L78" s="191"/>
      <c r="M78" s="191"/>
      <c r="N78" s="191"/>
      <c r="O78" s="191"/>
      <c r="P78" s="191"/>
      <c r="Q78" s="191"/>
      <c r="R78" s="191"/>
      <c r="S78" s="191"/>
      <c r="T78" s="191"/>
    </row>
    <row r="79">
      <c r="B79" s="439" t="s">
        <v>50</v>
      </c>
      <c r="C79" s="215">
        <f t="shared" si="4"/>
      </c>
      <c r="D79" s="215" t="s">
        <v>15</v>
      </c>
      <c r="E79" s="216"/>
      <c r="F79" s="191"/>
      <c r="G79" s="191"/>
      <c r="H79" s="191"/>
      <c r="I79" s="191"/>
      <c r="J79" s="191"/>
      <c r="K79" s="191"/>
      <c r="L79" s="191"/>
      <c r="M79" s="191"/>
      <c r="N79" s="191"/>
      <c r="O79" s="191"/>
      <c r="P79" s="191"/>
      <c r="Q79" s="191"/>
      <c r="R79" s="191"/>
      <c r="S79" s="191"/>
      <c r="T79" s="191"/>
    </row>
    <row r="80" s="2" customFormat="1">
      <c r="B80" s="440"/>
      <c r="C80" s="215">
        <f t="shared" si="4"/>
      </c>
      <c r="D80" s="215" t="s">
        <v>46</v>
      </c>
      <c r="E80" s="216"/>
      <c r="F80" s="191"/>
      <c r="G80" s="191"/>
      <c r="H80" s="191"/>
      <c r="I80" s="191"/>
      <c r="J80" s="191"/>
      <c r="K80" s="191"/>
      <c r="L80" s="191"/>
      <c r="M80" s="191"/>
      <c r="N80" s="191"/>
      <c r="O80" s="191"/>
      <c r="P80" s="191"/>
      <c r="Q80" s="191"/>
      <c r="R80" s="191"/>
      <c r="S80" s="191"/>
      <c r="T80" s="191"/>
    </row>
    <row r="81" s="1" customFormat="1">
      <c r="B81" s="439" t="s">
        <v>33</v>
      </c>
      <c r="C81" s="215">
        <f t="shared" si="4"/>
      </c>
      <c r="D81" s="215" t="s">
        <v>15</v>
      </c>
      <c r="E81" s="216"/>
      <c r="F81" s="191"/>
      <c r="G81" s="191"/>
      <c r="H81" s="191"/>
      <c r="I81" s="191"/>
      <c r="J81" s="191"/>
      <c r="K81" s="191"/>
      <c r="L81" s="191"/>
      <c r="M81" s="191"/>
      <c r="N81" s="191"/>
      <c r="O81" s="191"/>
      <c r="P81" s="191"/>
      <c r="Q81" s="191"/>
      <c r="R81" s="191"/>
      <c r="S81" s="191"/>
      <c r="T81" s="191"/>
      <c r="U81" s="197"/>
      <c r="V81" s="197"/>
      <c r="W81" s="197"/>
      <c r="X81" s="197"/>
      <c r="Y81" s="197"/>
      <c r="Z81" s="197"/>
      <c r="AA81" s="197"/>
      <c r="AB81" s="197"/>
      <c r="AC81" s="29"/>
      <c r="AD81" s="29"/>
      <c r="AE81" s="29"/>
      <c r="AF81" s="29"/>
      <c r="AG81" s="29"/>
      <c r="AH81" s="29"/>
      <c r="AI81" s="29"/>
      <c r="EY81" s="253"/>
      <c r="EZ81" s="253"/>
      <c r="FA81" s="253"/>
      <c r="FB81" s="253"/>
    </row>
    <row r="82" s="1" customFormat="1">
      <c r="B82" s="440"/>
      <c r="C82" s="215">
        <f t="shared" si="4"/>
      </c>
      <c r="D82" s="215" t="s">
        <v>46</v>
      </c>
      <c r="E82" s="216"/>
      <c r="F82" s="191"/>
      <c r="G82" s="191"/>
      <c r="H82" s="191"/>
      <c r="I82" s="191"/>
      <c r="J82" s="191"/>
      <c r="K82" s="191"/>
      <c r="L82" s="191"/>
      <c r="M82" s="191"/>
      <c r="N82" s="191"/>
      <c r="O82" s="191"/>
      <c r="P82" s="191"/>
      <c r="Q82" s="191"/>
      <c r="R82" s="191"/>
      <c r="S82" s="191"/>
      <c r="T82" s="191"/>
      <c r="U82" s="197"/>
      <c r="V82" s="197"/>
      <c r="W82" s="197"/>
      <c r="X82" s="197"/>
      <c r="Y82" s="197"/>
      <c r="Z82" s="197"/>
      <c r="AA82" s="197"/>
      <c r="AB82" s="197"/>
      <c r="AC82" s="29"/>
      <c r="AD82" s="29"/>
      <c r="AE82" s="29"/>
      <c r="AF82" s="29"/>
      <c r="AG82" s="29"/>
      <c r="AH82" s="29"/>
      <c r="AI82" s="29"/>
      <c r="EY82" s="253"/>
      <c r="EZ82" s="253"/>
      <c r="FA82" s="253"/>
      <c r="FB82" s="253"/>
    </row>
    <row r="83" s="1" customFormat="1">
      <c r="B83" s="439" t="s">
        <v>51</v>
      </c>
      <c r="C83" s="215">
        <f t="shared" ref="C83:C86" si="34">TEXT(B83,"yyyy")</f>
      </c>
      <c r="D83" s="215" t="s">
        <v>15</v>
      </c>
      <c r="E83" s="216"/>
      <c r="F83" s="191"/>
      <c r="G83" s="191"/>
      <c r="H83" s="191"/>
      <c r="I83" s="191"/>
      <c r="J83" s="191"/>
      <c r="K83" s="191"/>
      <c r="L83" s="191"/>
      <c r="M83" s="191"/>
      <c r="N83" s="191"/>
      <c r="O83" s="191"/>
      <c r="P83" s="191"/>
      <c r="Q83" s="191"/>
      <c r="R83" s="191"/>
      <c r="S83" s="191"/>
      <c r="T83" s="191"/>
      <c r="U83" s="197"/>
      <c r="V83" s="197"/>
      <c r="W83" s="197"/>
      <c r="X83" s="197"/>
      <c r="Y83" s="197"/>
      <c r="Z83" s="197"/>
      <c r="AA83" s="197"/>
      <c r="AB83" s="197"/>
      <c r="AC83" s="29"/>
      <c r="AD83" s="29"/>
      <c r="AE83" s="29"/>
      <c r="AF83" s="29"/>
      <c r="AG83" s="29"/>
      <c r="AH83" s="29"/>
      <c r="AI83" s="29"/>
      <c r="EY83" s="253"/>
      <c r="EZ83" s="253"/>
      <c r="FA83" s="253"/>
      <c r="FB83" s="253"/>
    </row>
    <row r="84" s="1" customFormat="1">
      <c r="B84" s="440"/>
      <c r="C84" s="215">
        <f t="shared" si="34"/>
      </c>
      <c r="D84" s="215" t="s">
        <v>46</v>
      </c>
      <c r="E84" s="216"/>
      <c r="F84" s="191"/>
      <c r="G84" s="191"/>
      <c r="H84" s="191"/>
      <c r="I84" s="191"/>
      <c r="J84" s="191"/>
      <c r="K84" s="191"/>
      <c r="L84" s="191"/>
      <c r="M84" s="191"/>
      <c r="N84" s="191"/>
      <c r="O84" s="191"/>
      <c r="P84" s="191"/>
      <c r="Q84" s="191"/>
      <c r="R84" s="191"/>
      <c r="S84" s="191"/>
      <c r="T84" s="191"/>
      <c r="U84" s="197"/>
      <c r="V84" s="197"/>
      <c r="W84" s="197"/>
      <c r="X84" s="197"/>
      <c r="Y84" s="197"/>
      <c r="Z84" s="197"/>
      <c r="AA84" s="197"/>
      <c r="AB84" s="197"/>
      <c r="AC84" s="29"/>
      <c r="AD84" s="29"/>
      <c r="AE84" s="29"/>
      <c r="AF84" s="29"/>
      <c r="AG84" s="29"/>
      <c r="AH84" s="29"/>
      <c r="AI84" s="29"/>
      <c r="EY84" s="253"/>
      <c r="EZ84" s="253"/>
      <c r="FA84" s="253"/>
      <c r="FB84" s="253"/>
    </row>
    <row r="85" s="1" customFormat="1">
      <c r="B85" s="439" t="s">
        <v>52</v>
      </c>
      <c r="C85" s="215">
        <f t="shared" si="34"/>
      </c>
      <c r="D85" s="215" t="s">
        <v>15</v>
      </c>
      <c r="E85" s="216"/>
      <c r="F85" s="191"/>
      <c r="G85" s="191"/>
      <c r="H85" s="191"/>
      <c r="I85" s="191"/>
      <c r="J85" s="191"/>
      <c r="K85" s="191"/>
      <c r="L85" s="191"/>
      <c r="M85" s="191"/>
      <c r="N85" s="191"/>
      <c r="O85" s="191"/>
      <c r="P85" s="191"/>
      <c r="Q85" s="191"/>
      <c r="R85" s="191"/>
      <c r="S85" s="191"/>
      <c r="T85" s="191"/>
      <c r="U85" s="197"/>
      <c r="V85" s="197"/>
      <c r="W85" s="197"/>
      <c r="X85" s="197"/>
      <c r="Y85" s="197"/>
      <c r="Z85" s="197"/>
      <c r="AA85" s="197"/>
      <c r="AB85" s="197"/>
      <c r="AC85" s="29"/>
      <c r="AD85" s="29"/>
      <c r="AE85" s="29"/>
      <c r="AF85" s="29"/>
      <c r="AG85" s="29"/>
      <c r="AH85" s="29"/>
      <c r="AI85" s="29"/>
      <c r="EY85" s="253"/>
      <c r="EZ85" s="253"/>
      <c r="FA85" s="253"/>
      <c r="FB85" s="253"/>
    </row>
    <row r="86" s="1" customFormat="1">
      <c r="B86" s="440"/>
      <c r="C86" s="215">
        <f t="shared" si="34"/>
      </c>
      <c r="D86" s="215" t="s">
        <v>46</v>
      </c>
      <c r="E86" s="216"/>
      <c r="F86" s="191"/>
      <c r="G86" s="191"/>
      <c r="H86" s="191"/>
      <c r="I86" s="191"/>
      <c r="J86" s="191"/>
      <c r="K86" s="191"/>
      <c r="L86" s="191"/>
      <c r="M86" s="191"/>
      <c r="N86" s="191"/>
      <c r="O86" s="191"/>
      <c r="P86" s="191"/>
      <c r="Q86" s="191"/>
      <c r="R86" s="191"/>
      <c r="S86" s="191"/>
      <c r="T86" s="191"/>
      <c r="U86" s="197"/>
      <c r="V86" s="197"/>
      <c r="W86" s="197"/>
      <c r="X86" s="197"/>
      <c r="Y86" s="197"/>
      <c r="Z86" s="197"/>
      <c r="AA86" s="197"/>
      <c r="AB86" s="197"/>
      <c r="AC86" s="29"/>
      <c r="AD86" s="29"/>
      <c r="AE86" s="29"/>
      <c r="AF86" s="29"/>
      <c r="AG86" s="29"/>
      <c r="AH86" s="29"/>
      <c r="AI86" s="29"/>
      <c r="EY86" s="253"/>
      <c r="EZ86" s="253"/>
      <c r="FA86" s="253"/>
      <c r="FB86" s="253"/>
    </row>
    <row r="87" s="1" customFormat="1">
      <c r="B87" s="439" t="s">
        <v>53</v>
      </c>
      <c r="C87" s="215">
        <f t="shared" ref="C87:C88" si="35">TEXT(B87,"yyyy")</f>
      </c>
      <c r="D87" s="215" t="s">
        <v>15</v>
      </c>
      <c r="E87" s="216"/>
      <c r="F87" s="191"/>
      <c r="G87" s="191"/>
      <c r="H87" s="191"/>
      <c r="I87" s="191"/>
      <c r="J87" s="191"/>
      <c r="K87" s="191"/>
      <c r="L87" s="191"/>
      <c r="M87" s="191"/>
      <c r="N87" s="191"/>
      <c r="O87" s="191"/>
      <c r="P87" s="191"/>
      <c r="Q87" s="191"/>
      <c r="R87" s="191"/>
      <c r="S87" s="191"/>
      <c r="T87" s="191"/>
      <c r="U87" s="197"/>
      <c r="V87" s="197"/>
      <c r="W87" s="197"/>
      <c r="X87" s="197"/>
      <c r="Y87" s="197"/>
      <c r="Z87" s="197"/>
      <c r="AA87" s="197"/>
      <c r="AB87" s="197"/>
      <c r="AC87" s="29"/>
      <c r="AD87" s="29"/>
      <c r="AE87" s="29"/>
      <c r="AF87" s="29"/>
      <c r="AG87" s="29"/>
      <c r="AH87" s="29"/>
      <c r="AI87" s="29"/>
      <c r="EY87" s="253"/>
      <c r="EZ87" s="253"/>
      <c r="FA87" s="253"/>
      <c r="FB87" s="253"/>
    </row>
    <row r="88" s="1" customFormat="1">
      <c r="B88" s="440"/>
      <c r="C88" s="215">
        <f t="shared" si="35"/>
      </c>
      <c r="D88" s="215" t="s">
        <v>46</v>
      </c>
      <c r="E88" s="216"/>
      <c r="F88" s="191"/>
      <c r="G88" s="191"/>
      <c r="H88" s="191"/>
      <c r="I88" s="191"/>
      <c r="J88" s="191"/>
      <c r="K88" s="191"/>
      <c r="L88" s="191"/>
      <c r="M88" s="191"/>
      <c r="N88" s="191"/>
      <c r="O88" s="191"/>
      <c r="P88" s="191"/>
      <c r="Q88" s="191"/>
      <c r="R88" s="191"/>
      <c r="S88" s="191"/>
      <c r="T88" s="191"/>
      <c r="U88" s="197"/>
      <c r="V88" s="197"/>
      <c r="W88" s="197"/>
      <c r="X88" s="197"/>
      <c r="Y88" s="197"/>
      <c r="Z88" s="197"/>
      <c r="AA88" s="197"/>
      <c r="AB88" s="197"/>
      <c r="AC88" s="29"/>
      <c r="AD88" s="29"/>
      <c r="AE88" s="29"/>
      <c r="AF88" s="29"/>
      <c r="AG88" s="29"/>
      <c r="AH88" s="29"/>
      <c r="AI88" s="29"/>
      <c r="EY88" s="253"/>
      <c r="EZ88" s="253"/>
      <c r="FA88" s="253"/>
      <c r="FB88" s="253"/>
    </row>
    <row r="89" s="32" customFormat="1">
      <c r="B89" s="433" t="s">
        <v>54</v>
      </c>
      <c r="C89" s="434"/>
      <c r="D89" s="434"/>
      <c r="E89" s="435"/>
      <c r="F89" s="218">
        <f>F71+F73+F75+F77+F79+F81+F83+F85+F87</f>
      </c>
      <c r="G89" s="218">
        <f t="shared" ref="G89:T89" si="36">G71+G73+G75+G77+G79+G81+G83+G85+G87</f>
      </c>
      <c r="H89" s="218">
        <f t="shared" si="36"/>
      </c>
      <c r="I89" s="218">
        <f t="shared" si="36"/>
      </c>
      <c r="J89" s="218">
        <f t="shared" si="36"/>
      </c>
      <c r="K89" s="218">
        <f t="shared" si="36"/>
      </c>
      <c r="L89" s="218">
        <f t="shared" si="36"/>
      </c>
      <c r="M89" s="218">
        <f t="shared" si="36"/>
      </c>
      <c r="N89" s="218">
        <f t="shared" si="36"/>
      </c>
      <c r="O89" s="218">
        <f t="shared" si="36"/>
      </c>
      <c r="P89" s="218">
        <f t="shared" si="36"/>
      </c>
      <c r="Q89" s="218">
        <f t="shared" si="36"/>
      </c>
      <c r="R89" s="218">
        <f t="shared" si="36"/>
      </c>
      <c r="S89" s="218">
        <f t="shared" si="36"/>
      </c>
      <c r="T89" s="218">
        <f t="shared" si="36"/>
      </c>
      <c r="U89" s="196"/>
      <c r="V89" s="196"/>
      <c r="W89" s="196"/>
      <c r="X89" s="196"/>
      <c r="Y89" s="196"/>
      <c r="Z89" s="196"/>
      <c r="AA89" s="196"/>
      <c r="AB89" s="196"/>
      <c r="AC89" s="31"/>
      <c r="AD89" s="31"/>
      <c r="AE89" s="31"/>
      <c r="AF89" s="31"/>
      <c r="AG89" s="31"/>
      <c r="AH89" s="31"/>
      <c r="AI89" s="31"/>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EE89" s="30"/>
      <c r="EF89" s="30"/>
      <c r="EG89" s="30"/>
      <c r="EH89" s="30"/>
      <c r="EI89" s="30"/>
      <c r="EJ89" s="30"/>
      <c r="EK89" s="30"/>
      <c r="EL89" s="30"/>
      <c r="EM89" s="30"/>
      <c r="EN89" s="30"/>
      <c r="EO89" s="30"/>
      <c r="EP89" s="30"/>
      <c r="EQ89" s="30"/>
      <c r="ER89" s="30"/>
      <c r="ES89" s="30"/>
      <c r="ET89" s="30"/>
      <c r="EU89" s="30"/>
      <c r="EV89" s="30"/>
      <c r="EW89" s="30"/>
      <c r="EX89" s="30"/>
      <c r="EY89" s="254"/>
      <c r="EZ89" s="254"/>
      <c r="FA89" s="254"/>
      <c r="FB89" s="254" t="s">
        <v>54</v>
      </c>
    </row>
    <row r="90">
      <c r="B90" s="433" t="s">
        <v>55</v>
      </c>
      <c r="C90" s="434"/>
      <c r="D90" s="434"/>
      <c r="E90" s="435"/>
      <c r="F90" s="218">
        <f>F72+F74+F76+F78+F80+F82+F84+F86+F88</f>
      </c>
      <c r="G90" s="218">
        <f t="shared" ref="G90:T90" si="37">G72+G74+G76+G78+G80+G82+G84+G86+G88</f>
      </c>
      <c r="H90" s="218">
        <f t="shared" si="37"/>
      </c>
      <c r="I90" s="218">
        <f t="shared" si="37"/>
      </c>
      <c r="J90" s="218">
        <f t="shared" si="37"/>
      </c>
      <c r="K90" s="218">
        <f t="shared" si="37"/>
      </c>
      <c r="L90" s="218">
        <f t="shared" si="37"/>
      </c>
      <c r="M90" s="218">
        <f t="shared" si="37"/>
      </c>
      <c r="N90" s="218">
        <f t="shared" si="37"/>
      </c>
      <c r="O90" s="218">
        <f t="shared" si="37"/>
      </c>
      <c r="P90" s="218">
        <f t="shared" si="37"/>
      </c>
      <c r="Q90" s="218">
        <f t="shared" si="37"/>
      </c>
      <c r="R90" s="218">
        <f t="shared" si="37"/>
      </c>
      <c r="S90" s="218">
        <f t="shared" si="37"/>
      </c>
      <c r="T90" s="218">
        <f t="shared" si="37"/>
      </c>
      <c r="U90" s="197"/>
      <c r="V90" s="197"/>
      <c r="W90" s="197"/>
      <c r="X90" s="197"/>
      <c r="Y90" s="197"/>
      <c r="Z90" s="197"/>
      <c r="AA90" s="197"/>
      <c r="AB90" s="197"/>
      <c r="AC90" s="29"/>
      <c r="AD90" s="29"/>
      <c r="AE90" s="29"/>
      <c r="AF90" s="29"/>
      <c r="AG90" s="29"/>
      <c r="AH90" s="29"/>
      <c r="AI90" s="29"/>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FB90" s="254" t="s">
        <v>55</v>
      </c>
    </row>
    <row r="91">
      <c r="B91" s="450" t="s">
        <v>42</v>
      </c>
      <c r="C91" s="450"/>
      <c r="D91" s="450"/>
      <c r="E91" s="450"/>
      <c r="F91" s="191"/>
      <c r="G91" s="191"/>
      <c r="H91" s="191"/>
      <c r="I91" s="191"/>
      <c r="J91" s="191"/>
      <c r="K91" s="191"/>
      <c r="L91" s="191"/>
      <c r="M91" s="191"/>
      <c r="N91" s="191"/>
      <c r="O91" s="191"/>
      <c r="P91" s="191"/>
      <c r="Q91" s="191"/>
      <c r="R91" s="191"/>
      <c r="S91" s="191"/>
      <c r="T91" s="191"/>
      <c r="U91" s="197"/>
      <c r="V91" s="197"/>
      <c r="W91" s="197"/>
      <c r="X91" s="197"/>
      <c r="Y91" s="197"/>
      <c r="Z91" s="197"/>
      <c r="AA91" s="197"/>
      <c r="AB91" s="197"/>
      <c r="AC91" s="29"/>
      <c r="AD91" s="29"/>
      <c r="AE91" s="29"/>
      <c r="AF91" s="29"/>
      <c r="AG91" s="29"/>
      <c r="AH91" s="29"/>
      <c r="AI91" s="29"/>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row>
    <row r="92" ht="37.15" customHeight="1">
      <c r="B92" s="451" t="s">
        <v>43</v>
      </c>
      <c r="C92" s="451"/>
      <c r="D92" s="451"/>
      <c r="E92" s="451"/>
      <c r="F92" s="219"/>
      <c r="G92" s="219"/>
      <c r="H92" s="219"/>
      <c r="I92" s="219"/>
      <c r="J92" s="219"/>
      <c r="K92" s="219"/>
      <c r="L92" s="219"/>
      <c r="M92" s="219"/>
      <c r="N92" s="219"/>
      <c r="O92" s="219"/>
      <c r="P92" s="219"/>
      <c r="Q92" s="219"/>
      <c r="R92" s="219"/>
      <c r="S92" s="219"/>
      <c r="T92" s="219"/>
      <c r="U92" s="197"/>
      <c r="V92" s="197"/>
      <c r="W92" s="197"/>
      <c r="X92" s="197"/>
      <c r="Y92" s="197"/>
      <c r="Z92" s="197"/>
      <c r="AA92" s="197"/>
      <c r="AB92" s="197"/>
      <c r="AC92" s="29"/>
      <c r="AD92" s="29"/>
      <c r="AE92" s="29"/>
      <c r="AF92" s="29"/>
      <c r="AG92" s="29"/>
      <c r="AH92" s="29"/>
      <c r="AI92" s="29"/>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row>
    <row r="93">
      <c r="E93" s="197"/>
      <c r="F93" s="213"/>
      <c r="G93" s="213"/>
      <c r="H93" s="213"/>
      <c r="I93" s="213"/>
      <c r="J93" s="213"/>
      <c r="K93" s="213"/>
      <c r="L93" s="213"/>
      <c r="M93" s="213"/>
      <c r="N93" s="213"/>
      <c r="O93" s="213"/>
      <c r="P93" s="213"/>
      <c r="Q93" s="213"/>
      <c r="R93" s="213"/>
      <c r="S93" s="213"/>
      <c r="T93" s="213"/>
      <c r="U93" s="197"/>
      <c r="V93" s="197"/>
      <c r="W93" s="197"/>
      <c r="X93" s="197"/>
      <c r="Y93" s="197"/>
      <c r="Z93" s="197"/>
      <c r="AA93" s="197"/>
      <c r="AB93" s="197"/>
      <c r="AC93" s="29"/>
      <c r="AD93" s="29"/>
      <c r="AE93" s="29"/>
      <c r="AF93" s="29"/>
      <c r="AG93" s="29"/>
      <c r="AH93" s="29"/>
      <c r="AI93" s="29"/>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row>
    <row r="94">
      <c r="C94" s="187">
        <f t="shared" si="4"/>
      </c>
      <c r="E94" s="197"/>
      <c r="F94" s="220"/>
      <c r="G94" s="220"/>
      <c r="H94" s="221"/>
      <c r="I94" s="220"/>
      <c r="J94" s="220"/>
      <c r="K94" s="220"/>
      <c r="L94" s="220"/>
      <c r="M94" s="220"/>
      <c r="N94" s="220"/>
      <c r="O94" s="220"/>
      <c r="P94" s="220"/>
      <c r="Q94" s="220"/>
      <c r="R94" s="220"/>
      <c r="S94" s="220"/>
      <c r="T94" s="220"/>
      <c r="U94" s="197"/>
      <c r="V94" s="197"/>
      <c r="W94" s="197"/>
      <c r="X94" s="197"/>
      <c r="Y94" s="197"/>
      <c r="Z94" s="197"/>
      <c r="AA94" s="197"/>
      <c r="AB94" s="197"/>
      <c r="AC94" s="29"/>
      <c r="AD94" s="29"/>
      <c r="AE94" s="29"/>
      <c r="AF94" s="29"/>
      <c r="AG94" s="29"/>
      <c r="AH94" s="29"/>
      <c r="AI94" s="29"/>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row>
    <row r="95">
      <c r="B95" s="443" t="s">
        <v>56</v>
      </c>
      <c r="C95" s="443"/>
      <c r="D95" s="443"/>
      <c r="E95" s="443"/>
      <c r="F95" s="214">
        <f>F70</f>
      </c>
      <c r="G95" s="214">
        <f t="shared" ref="G95:Q95" si="38">G70</f>
      </c>
      <c r="H95" s="214">
        <f t="shared" si="38"/>
      </c>
      <c r="I95" s="214">
        <f t="shared" si="38"/>
      </c>
      <c r="J95" s="214">
        <f t="shared" si="38"/>
      </c>
      <c r="K95" s="214">
        <f t="shared" si="38"/>
      </c>
      <c r="L95" s="214">
        <f t="shared" si="38"/>
      </c>
      <c r="M95" s="214">
        <f t="shared" si="38"/>
      </c>
      <c r="N95" s="214">
        <f t="shared" si="38"/>
      </c>
      <c r="O95" s="214">
        <f t="shared" si="38"/>
      </c>
      <c r="P95" s="214">
        <f t="shared" si="38"/>
      </c>
      <c r="Q95" s="214">
        <f t="shared" si="38"/>
      </c>
      <c r="R95" s="214">
        <f t="shared" ref="R95:T95" si="39">R70</f>
      </c>
      <c r="S95" s="214">
        <f t="shared" si="39"/>
      </c>
      <c r="T95" s="214">
        <f t="shared" si="39"/>
      </c>
      <c r="U95" s="197"/>
      <c r="V95" s="197"/>
      <c r="W95" s="197"/>
      <c r="X95" s="197"/>
      <c r="Y95" s="197"/>
      <c r="Z95" s="197"/>
      <c r="AA95" s="197"/>
      <c r="AB95" s="197"/>
      <c r="AC95" s="29"/>
      <c r="AD95" s="29"/>
      <c r="AE95" s="29"/>
      <c r="AF95" s="29"/>
      <c r="AG95" s="29"/>
      <c r="AH95" s="29"/>
      <c r="AI95" s="29"/>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row>
    <row r="96">
      <c r="B96" s="441" t="s">
        <v>57</v>
      </c>
      <c r="C96" s="222">
        <f t="shared" ref="C96:C119" si="40">TEXT(B96,"yyyy")</f>
      </c>
      <c r="D96" s="222" t="s">
        <v>58</v>
      </c>
      <c r="E96" s="223"/>
      <c r="F96" s="191"/>
      <c r="G96" s="191"/>
      <c r="H96" s="191"/>
      <c r="I96" s="356"/>
      <c r="J96" s="191"/>
      <c r="K96" s="191"/>
      <c r="L96" s="191"/>
      <c r="M96" s="191"/>
      <c r="N96" s="191"/>
      <c r="O96" s="191"/>
      <c r="P96" s="191"/>
      <c r="Q96" s="191"/>
      <c r="R96" s="191"/>
      <c r="S96" s="191"/>
      <c r="T96" s="191"/>
      <c r="U96" s="197"/>
      <c r="V96" s="197"/>
      <c r="W96" s="197"/>
      <c r="X96" s="197"/>
      <c r="Y96" s="197"/>
      <c r="Z96" s="197"/>
      <c r="AA96" s="197"/>
      <c r="AB96" s="197"/>
      <c r="AC96" s="29"/>
      <c r="AD96" s="29"/>
      <c r="AE96" s="29"/>
      <c r="AF96" s="29"/>
      <c r="AG96" s="29"/>
      <c r="AH96" s="29"/>
      <c r="AI96" s="29"/>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FB96" s="253" t="s">
        <v>58</v>
      </c>
    </row>
    <row r="97">
      <c r="B97" s="442"/>
      <c r="C97" s="222">
        <f t="shared" si="40"/>
      </c>
      <c r="D97" s="222" t="s">
        <v>59</v>
      </c>
      <c r="E97" s="223"/>
      <c r="F97" s="191"/>
      <c r="G97" s="191"/>
      <c r="H97" s="191"/>
      <c r="I97" s="191"/>
      <c r="J97" s="191"/>
      <c r="K97" s="191"/>
      <c r="L97" s="191"/>
      <c r="M97" s="191"/>
      <c r="N97" s="191"/>
      <c r="O97" s="191"/>
      <c r="P97" s="191"/>
      <c r="Q97" s="191"/>
      <c r="R97" s="191"/>
      <c r="S97" s="191"/>
      <c r="T97" s="191"/>
      <c r="U97" s="197"/>
      <c r="V97" s="197"/>
      <c r="W97" s="197"/>
      <c r="X97" s="197"/>
      <c r="Y97" s="197"/>
      <c r="Z97" s="197"/>
      <c r="AA97" s="197"/>
      <c r="AB97" s="197"/>
      <c r="AC97" s="29"/>
      <c r="AD97" s="29"/>
      <c r="AE97" s="29"/>
      <c r="AF97" s="29"/>
      <c r="AG97" s="29"/>
      <c r="AH97" s="29"/>
      <c r="AI97" s="29"/>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FB97" s="253" t="s">
        <v>59</v>
      </c>
    </row>
    <row r="98">
      <c r="B98" s="441" t="s">
        <v>60</v>
      </c>
      <c r="C98" s="222">
        <f t="shared" ref="C98:C99" si="41">TEXT(B98,"yyyy")</f>
      </c>
      <c r="D98" s="224" t="s">
        <v>61</v>
      </c>
      <c r="E98" s="225"/>
      <c r="F98" s="191"/>
      <c r="G98" s="191"/>
      <c r="H98" s="191"/>
      <c r="I98" s="191"/>
      <c r="J98" s="191"/>
      <c r="K98" s="191"/>
      <c r="L98" s="191"/>
      <c r="M98" s="191"/>
      <c r="N98" s="191"/>
      <c r="O98" s="191"/>
      <c r="P98" s="191"/>
      <c r="Q98" s="191"/>
      <c r="R98" s="191"/>
      <c r="S98" s="191"/>
      <c r="T98" s="191"/>
      <c r="U98" s="197"/>
      <c r="V98" s="197"/>
      <c r="W98" s="197"/>
      <c r="X98" s="197"/>
      <c r="Y98" s="197"/>
      <c r="Z98" s="197"/>
      <c r="AA98" s="197"/>
      <c r="AB98" s="197"/>
      <c r="AC98" s="29"/>
      <c r="AD98" s="29"/>
      <c r="AE98" s="29"/>
      <c r="AF98" s="29"/>
      <c r="AG98" s="29"/>
      <c r="AH98" s="29"/>
      <c r="AI98" s="29"/>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FB98" s="253" t="s">
        <v>61</v>
      </c>
    </row>
    <row r="99">
      <c r="B99" s="442"/>
      <c r="C99" s="226">
        <f t="shared" si="41"/>
      </c>
      <c r="D99" s="226"/>
      <c r="E99" s="227"/>
      <c r="F99" s="228"/>
      <c r="G99" s="191"/>
      <c r="H99" s="191"/>
      <c r="I99" s="191"/>
      <c r="J99" s="191"/>
      <c r="K99" s="191"/>
      <c r="L99" s="191"/>
      <c r="M99" s="191"/>
      <c r="N99" s="191"/>
      <c r="O99" s="191"/>
      <c r="P99" s="191"/>
      <c r="Q99" s="191"/>
      <c r="R99" s="191"/>
      <c r="S99" s="191"/>
      <c r="T99" s="191"/>
      <c r="U99" s="197"/>
      <c r="V99" s="197"/>
      <c r="W99" s="197"/>
      <c r="X99" s="197"/>
      <c r="Y99" s="197"/>
      <c r="Z99" s="197"/>
      <c r="AA99" s="197"/>
      <c r="AB99" s="197"/>
      <c r="AC99" s="29"/>
      <c r="AD99" s="29"/>
      <c r="AE99" s="29"/>
      <c r="AF99" s="29"/>
      <c r="AG99" s="29"/>
      <c r="AH99" s="29"/>
      <c r="AI99" s="29"/>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row>
    <row r="100">
      <c r="B100" s="441" t="s">
        <v>62</v>
      </c>
      <c r="C100" s="222">
        <f t="shared" ref="C100:C101" si="42">TEXT(B100,"yyyy")</f>
      </c>
      <c r="D100" s="229" t="s">
        <v>63</v>
      </c>
      <c r="E100" s="230"/>
      <c r="F100" s="191"/>
      <c r="G100" s="191"/>
      <c r="H100" s="191"/>
      <c r="I100" s="191"/>
      <c r="J100" s="191"/>
      <c r="K100" s="191"/>
      <c r="L100" s="191"/>
      <c r="M100" s="191"/>
      <c r="N100" s="191"/>
      <c r="O100" s="191"/>
      <c r="P100" s="191"/>
      <c r="Q100" s="191"/>
      <c r="R100" s="191"/>
      <c r="S100" s="191"/>
      <c r="T100" s="191"/>
      <c r="U100" s="197"/>
      <c r="V100" s="197"/>
      <c r="W100" s="197"/>
      <c r="X100" s="197"/>
      <c r="Y100" s="197"/>
      <c r="Z100" s="197"/>
      <c r="AA100" s="197"/>
      <c r="AB100" s="197"/>
      <c r="AC100" s="29"/>
      <c r="AD100" s="29"/>
      <c r="AE100" s="29"/>
      <c r="AF100" s="29"/>
      <c r="AG100" s="29"/>
      <c r="AH100" s="29"/>
      <c r="AI100" s="29"/>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FB100" s="253" t="s">
        <v>63</v>
      </c>
    </row>
    <row r="101">
      <c r="B101" s="442"/>
      <c r="C101" s="222">
        <f t="shared" si="42"/>
      </c>
      <c r="D101" s="222" t="s">
        <v>64</v>
      </c>
      <c r="E101" s="223"/>
      <c r="F101" s="191"/>
      <c r="G101" s="191"/>
      <c r="H101" s="191"/>
      <c r="I101" s="191"/>
      <c r="J101" s="191"/>
      <c r="K101" s="191"/>
      <c r="L101" s="191"/>
      <c r="M101" s="191"/>
      <c r="N101" s="191"/>
      <c r="O101" s="191"/>
      <c r="P101" s="191"/>
      <c r="Q101" s="191"/>
      <c r="R101" s="191"/>
      <c r="S101" s="191"/>
      <c r="T101" s="191"/>
      <c r="U101" s="197"/>
      <c r="V101" s="197"/>
      <c r="W101" s="197"/>
      <c r="X101" s="197"/>
      <c r="Y101" s="197"/>
      <c r="Z101" s="197"/>
      <c r="AA101" s="197"/>
      <c r="AB101" s="197"/>
      <c r="AC101" s="29"/>
      <c r="AD101" s="29"/>
      <c r="AE101" s="29"/>
      <c r="AF101" s="29"/>
      <c r="AG101" s="29"/>
      <c r="AH101" s="29"/>
      <c r="AI101" s="29"/>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FB101" s="253" t="s">
        <v>64</v>
      </c>
    </row>
    <row r="102">
      <c r="B102" s="441" t="s">
        <v>65</v>
      </c>
      <c r="C102" s="222">
        <f t="shared" si="40"/>
      </c>
      <c r="D102" s="222" t="s">
        <v>66</v>
      </c>
      <c r="E102" s="223"/>
      <c r="F102" s="191"/>
      <c r="G102" s="191"/>
      <c r="H102" s="191"/>
      <c r="I102" s="356"/>
      <c r="J102" s="191"/>
      <c r="K102" s="191"/>
      <c r="L102" s="191"/>
      <c r="M102" s="191"/>
      <c r="N102" s="191"/>
      <c r="O102" s="191"/>
      <c r="P102" s="191"/>
      <c r="Q102" s="191"/>
      <c r="R102" s="191"/>
      <c r="S102" s="191"/>
      <c r="T102" s="191"/>
      <c r="U102" s="197"/>
      <c r="V102" s="197"/>
      <c r="W102" s="197"/>
      <c r="X102" s="197"/>
      <c r="Y102" s="197"/>
      <c r="Z102" s="197"/>
      <c r="AA102" s="197"/>
      <c r="AB102" s="197"/>
      <c r="AC102" s="29"/>
      <c r="AD102" s="29"/>
      <c r="AE102" s="29"/>
      <c r="AF102" s="29"/>
      <c r="AG102" s="29"/>
      <c r="AH102" s="29"/>
      <c r="AI102" s="29"/>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FB102" s="253" t="s">
        <v>66</v>
      </c>
    </row>
    <row r="103">
      <c r="B103" s="442"/>
      <c r="C103" s="222">
        <f t="shared" si="40"/>
      </c>
      <c r="D103" s="224" t="s">
        <v>67</v>
      </c>
      <c r="E103" s="225"/>
      <c r="F103" s="191"/>
      <c r="G103" s="191"/>
      <c r="H103" s="191"/>
      <c r="I103" s="191"/>
      <c r="J103" s="191"/>
      <c r="K103" s="191"/>
      <c r="L103" s="191"/>
      <c r="M103" s="191"/>
      <c r="N103" s="191"/>
      <c r="O103" s="191"/>
      <c r="P103" s="191"/>
      <c r="Q103" s="191"/>
      <c r="R103" s="191"/>
      <c r="S103" s="191"/>
      <c r="T103" s="191"/>
      <c r="U103" s="197"/>
      <c r="V103" s="197"/>
      <c r="W103" s="197"/>
      <c r="X103" s="197"/>
      <c r="Y103" s="197"/>
      <c r="Z103" s="197"/>
      <c r="AA103" s="197"/>
      <c r="AB103" s="197"/>
      <c r="AC103" s="29"/>
      <c r="AD103" s="29"/>
      <c r="AE103" s="29"/>
      <c r="AF103" s="29"/>
      <c r="AG103" s="29"/>
      <c r="AH103" s="29"/>
      <c r="AI103" s="29"/>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FB103" s="253" t="s">
        <v>67</v>
      </c>
    </row>
    <row r="104">
      <c r="B104" s="441" t="s">
        <v>68</v>
      </c>
      <c r="C104" s="226">
        <f t="shared" si="40"/>
      </c>
      <c r="D104" s="226" t="s">
        <v>69</v>
      </c>
      <c r="E104" s="227"/>
      <c r="F104" s="228"/>
      <c r="G104" s="191"/>
      <c r="H104" s="191"/>
      <c r="I104" s="191"/>
      <c r="J104" s="191"/>
      <c r="K104" s="191"/>
      <c r="L104" s="191"/>
      <c r="M104" s="191"/>
      <c r="N104" s="191"/>
      <c r="O104" s="191"/>
      <c r="P104" s="191"/>
      <c r="Q104" s="191"/>
      <c r="R104" s="191"/>
      <c r="S104" s="191"/>
      <c r="T104" s="191"/>
      <c r="U104" s="197"/>
      <c r="V104" s="197"/>
      <c r="W104" s="197"/>
      <c r="X104" s="197"/>
      <c r="Y104" s="197"/>
      <c r="Z104" s="197"/>
      <c r="AA104" s="197"/>
      <c r="AB104" s="197"/>
      <c r="AC104" s="29"/>
      <c r="AD104" s="29"/>
      <c r="AE104" s="29"/>
      <c r="AF104" s="29"/>
      <c r="AG104" s="29"/>
      <c r="AH104" s="29"/>
      <c r="AI104" s="29"/>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FB104" s="253" t="s">
        <v>69</v>
      </c>
    </row>
    <row r="105">
      <c r="B105" s="442"/>
      <c r="C105" s="222">
        <f t="shared" si="40"/>
      </c>
      <c r="D105" s="229" t="s">
        <v>70</v>
      </c>
      <c r="E105" s="230"/>
      <c r="F105" s="191"/>
      <c r="G105" s="191"/>
      <c r="H105" s="191"/>
      <c r="I105" s="191"/>
      <c r="J105" s="191"/>
      <c r="K105" s="191"/>
      <c r="L105" s="191"/>
      <c r="M105" s="191"/>
      <c r="N105" s="191"/>
      <c r="O105" s="191"/>
      <c r="P105" s="191"/>
      <c r="Q105" s="191"/>
      <c r="R105" s="191"/>
      <c r="S105" s="191"/>
      <c r="T105" s="191"/>
      <c r="U105" s="197"/>
      <c r="V105" s="197"/>
      <c r="W105" s="197"/>
      <c r="X105" s="197"/>
      <c r="Y105" s="197"/>
      <c r="Z105" s="197"/>
      <c r="AA105" s="197"/>
      <c r="AB105" s="197"/>
      <c r="AC105" s="29"/>
      <c r="AD105" s="29"/>
      <c r="AE105" s="29"/>
      <c r="AF105" s="29"/>
      <c r="AG105" s="29"/>
      <c r="AH105" s="29"/>
      <c r="AI105" s="29"/>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FB105" s="253" t="s">
        <v>70</v>
      </c>
    </row>
    <row r="106">
      <c r="B106" s="441" t="s">
        <v>71</v>
      </c>
      <c r="C106" s="222">
        <f t="shared" si="40"/>
        <v xml:space="preserve"> National Pension Scheme (NPS) - Self</v>
      </c>
      <c r="D106" s="222" t="s">
        <v>72</v>
      </c>
      <c r="E106" s="223"/>
      <c r="F106" s="191"/>
      <c r="G106" s="191"/>
      <c r="H106" s="191"/>
      <c r="I106" s="191"/>
      <c r="J106" s="191"/>
      <c r="K106" s="191"/>
      <c r="L106" s="191"/>
      <c r="M106" s="191"/>
      <c r="N106" s="191"/>
      <c r="O106" s="191"/>
      <c r="P106" s="191"/>
      <c r="Q106" s="191"/>
      <c r="R106" s="191"/>
      <c r="S106" s="191"/>
      <c r="T106" s="191"/>
      <c r="U106" s="197"/>
      <c r="V106" s="197"/>
      <c r="W106" s="197"/>
      <c r="X106" s="197"/>
      <c r="Y106" s="197"/>
      <c r="Z106" s="197"/>
      <c r="AA106" s="197"/>
      <c r="AB106" s="197"/>
      <c r="AC106" s="29"/>
      <c r="AD106" s="29"/>
      <c r="AE106" s="29"/>
      <c r="AF106" s="29"/>
      <c r="AG106" s="29"/>
      <c r="AH106" s="29"/>
      <c r="AI106" s="29"/>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FB106" s="253" t="s">
        <v>72</v>
      </c>
    </row>
    <row r="107">
      <c r="B107" s="442"/>
      <c r="C107" s="222">
        <f t="shared" si="40"/>
      </c>
      <c r="D107" s="222" t="s">
        <v>73</v>
      </c>
      <c r="E107" s="223"/>
      <c r="F107" s="191"/>
      <c r="G107" s="191"/>
      <c r="H107" s="191"/>
      <c r="I107" s="191"/>
      <c r="J107" s="191"/>
      <c r="K107" s="191"/>
      <c r="L107" s="191"/>
      <c r="M107" s="191"/>
      <c r="N107" s="191"/>
      <c r="O107" s="191"/>
      <c r="P107" s="191"/>
      <c r="Q107" s="191"/>
      <c r="R107" s="191"/>
      <c r="S107" s="191"/>
      <c r="T107" s="191"/>
      <c r="U107" s="197"/>
      <c r="V107" s="197"/>
      <c r="W107" s="197"/>
      <c r="X107" s="197"/>
      <c r="Y107" s="197"/>
      <c r="Z107" s="197"/>
      <c r="AA107" s="197"/>
      <c r="AB107" s="197"/>
      <c r="AC107" s="29"/>
      <c r="AD107" s="29"/>
      <c r="AE107" s="29"/>
      <c r="AF107" s="29"/>
      <c r="AG107" s="29"/>
      <c r="AH107" s="29"/>
      <c r="AI107" s="29"/>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FB107" s="253" t="s">
        <v>73</v>
      </c>
    </row>
    <row r="108">
      <c r="B108" s="441" t="s">
        <v>74</v>
      </c>
      <c r="C108" s="222">
        <f t="shared" ref="C108:C109" si="43">TEXT(B108,"yyyy")</f>
        <v xml:space="preserve"> National Pension Scheme (NPS) - Employer</v>
      </c>
      <c r="D108" s="222" t="s">
        <v>75</v>
      </c>
      <c r="E108" s="223"/>
      <c r="F108" s="191"/>
      <c r="G108" s="191"/>
      <c r="H108" s="191"/>
      <c r="I108" s="191"/>
      <c r="J108" s="191"/>
      <c r="K108" s="191"/>
      <c r="L108" s="191"/>
      <c r="M108" s="191"/>
      <c r="N108" s="191"/>
      <c r="O108" s="191"/>
      <c r="P108" s="191"/>
      <c r="Q108" s="191"/>
      <c r="R108" s="191"/>
      <c r="S108" s="191"/>
      <c r="T108" s="191"/>
      <c r="U108" s="197"/>
      <c r="V108" s="197"/>
      <c r="W108" s="197"/>
      <c r="X108" s="197"/>
      <c r="Y108" s="197"/>
      <c r="Z108" s="197"/>
      <c r="AA108" s="197"/>
      <c r="AB108" s="197"/>
      <c r="AC108" s="29"/>
      <c r="AD108" s="29"/>
      <c r="AE108" s="29"/>
      <c r="AF108" s="29"/>
      <c r="AG108" s="29"/>
      <c r="AH108" s="29"/>
      <c r="AI108" s="29"/>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FB108" s="253" t="s">
        <v>75</v>
      </c>
    </row>
    <row r="109">
      <c r="B109" s="442"/>
      <c r="C109" s="222">
        <f t="shared" si="43"/>
      </c>
      <c r="D109" s="222" t="s">
        <v>76</v>
      </c>
      <c r="E109" s="223"/>
      <c r="F109" s="191"/>
      <c r="G109" s="191"/>
      <c r="H109" s="191"/>
      <c r="I109" s="191"/>
      <c r="J109" s="191"/>
      <c r="K109" s="191"/>
      <c r="L109" s="191"/>
      <c r="M109" s="191"/>
      <c r="N109" s="191"/>
      <c r="O109" s="191"/>
      <c r="P109" s="191"/>
      <c r="Q109" s="191"/>
      <c r="R109" s="191"/>
      <c r="S109" s="191"/>
      <c r="T109" s="191"/>
      <c r="U109" s="197"/>
      <c r="V109" s="197"/>
      <c r="W109" s="197"/>
      <c r="X109" s="197"/>
      <c r="Y109" s="197"/>
      <c r="Z109" s="197"/>
      <c r="AA109" s="197"/>
      <c r="AB109" s="197"/>
      <c r="AC109" s="29"/>
      <c r="AD109" s="29"/>
      <c r="AE109" s="29"/>
      <c r="AF109" s="29"/>
      <c r="AG109" s="29"/>
      <c r="AH109" s="29"/>
      <c r="AI109" s="29"/>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FB109" s="253" t="s">
        <v>76</v>
      </c>
    </row>
    <row r="110">
      <c r="B110" s="441" t="s">
        <v>77</v>
      </c>
      <c r="C110" s="222">
        <f t="shared" si="40"/>
      </c>
      <c r="D110" s="222" t="s">
        <v>78</v>
      </c>
      <c r="E110" s="223"/>
      <c r="F110" s="191"/>
      <c r="G110" s="191"/>
      <c r="H110" s="191"/>
      <c r="I110" s="356"/>
      <c r="J110" s="191"/>
      <c r="K110" s="191"/>
      <c r="L110" s="191"/>
      <c r="M110" s="191"/>
      <c r="N110" s="191"/>
      <c r="O110" s="191"/>
      <c r="P110" s="191"/>
      <c r="Q110" s="191"/>
      <c r="R110" s="191"/>
      <c r="S110" s="191"/>
      <c r="T110" s="191"/>
      <c r="U110" s="197"/>
      <c r="V110" s="197"/>
      <c r="W110" s="197"/>
      <c r="X110" s="197"/>
      <c r="Y110" s="197"/>
      <c r="Z110" s="197"/>
      <c r="AA110" s="197"/>
      <c r="AB110" s="197"/>
      <c r="AC110" s="29"/>
      <c r="AD110" s="29"/>
      <c r="AE110" s="29"/>
      <c r="AF110" s="29"/>
      <c r="AG110" s="29"/>
      <c r="AH110" s="29"/>
      <c r="AI110" s="29"/>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FB110" s="253" t="s">
        <v>78</v>
      </c>
    </row>
    <row r="111" s="123" customFormat="1">
      <c r="B111" s="442"/>
      <c r="C111" s="222">
        <f t="shared" si="40"/>
      </c>
      <c r="D111" s="222" t="s">
        <v>79</v>
      </c>
      <c r="E111" s="223"/>
      <c r="F111" s="191"/>
      <c r="G111" s="191"/>
      <c r="H111" s="191"/>
      <c r="I111" s="191"/>
      <c r="J111" s="191"/>
      <c r="K111" s="191"/>
      <c r="L111" s="191"/>
      <c r="M111" s="191"/>
      <c r="N111" s="191"/>
      <c r="O111" s="191"/>
      <c r="P111" s="191"/>
      <c r="Q111" s="191"/>
      <c r="R111" s="191"/>
      <c r="S111" s="191"/>
      <c r="T111" s="191"/>
      <c r="U111" s="217"/>
      <c r="V111" s="217"/>
      <c r="W111" s="217"/>
      <c r="X111" s="217"/>
      <c r="Y111" s="217"/>
      <c r="Z111" s="217"/>
      <c r="AA111" s="217"/>
      <c r="AB111" s="217"/>
      <c r="AC111" s="121"/>
      <c r="AD111" s="121"/>
      <c r="AE111" s="121"/>
      <c r="AF111" s="121"/>
      <c r="AG111" s="121"/>
      <c r="AH111" s="121"/>
      <c r="AI111" s="121"/>
      <c r="AJ111" s="122"/>
      <c r="AK111" s="122"/>
      <c r="AL111" s="122"/>
      <c r="AM111" s="122"/>
      <c r="AN111" s="122"/>
      <c r="AO111" s="122"/>
      <c r="AP111" s="122"/>
      <c r="AQ111" s="122"/>
      <c r="AR111" s="122"/>
      <c r="AS111" s="122"/>
      <c r="AT111" s="122"/>
      <c r="AU111" s="122"/>
      <c r="AV111" s="122"/>
      <c r="AW111" s="122"/>
      <c r="AX111" s="122"/>
      <c r="AY111" s="122"/>
      <c r="AZ111" s="122"/>
      <c r="BA111" s="122"/>
      <c r="BB111" s="122"/>
      <c r="BC111" s="122"/>
      <c r="BD111" s="122"/>
      <c r="BE111" s="122"/>
      <c r="BF111" s="122"/>
      <c r="BG111" s="122"/>
      <c r="BH111" s="122"/>
      <c r="BI111" s="122"/>
      <c r="BJ111" s="122"/>
      <c r="BK111" s="122"/>
      <c r="BL111" s="122"/>
      <c r="BM111" s="122"/>
      <c r="BN111" s="122"/>
      <c r="BO111" s="122"/>
      <c r="BP111" s="122"/>
      <c r="EE111" s="122"/>
      <c r="EF111" s="122"/>
      <c r="EG111" s="122"/>
      <c r="EH111" s="122"/>
      <c r="EI111" s="122"/>
      <c r="EJ111" s="122"/>
      <c r="EK111" s="122"/>
      <c r="EL111" s="122"/>
      <c r="EM111" s="122"/>
      <c r="EN111" s="122"/>
      <c r="EO111" s="122"/>
      <c r="EP111" s="122"/>
      <c r="EQ111" s="122"/>
      <c r="ER111" s="122"/>
      <c r="ES111" s="122"/>
      <c r="ET111" s="122"/>
      <c r="EU111" s="122"/>
      <c r="EV111" s="122"/>
      <c r="EW111" s="122"/>
      <c r="EX111" s="122"/>
      <c r="EY111" s="257"/>
      <c r="EZ111" s="257"/>
      <c r="FA111" s="257"/>
      <c r="FB111" s="253" t="s">
        <v>79</v>
      </c>
    </row>
    <row r="112" s="1" customFormat="1">
      <c r="B112" s="441" t="s">
        <v>80</v>
      </c>
      <c r="C112" s="222">
        <f t="shared" si="40"/>
      </c>
      <c r="D112" s="226" t="s">
        <v>81</v>
      </c>
      <c r="E112" s="227"/>
      <c r="F112" s="191"/>
      <c r="G112" s="191"/>
      <c r="H112" s="191"/>
      <c r="I112" s="356"/>
      <c r="J112" s="191"/>
      <c r="K112" s="191"/>
      <c r="L112" s="191"/>
      <c r="M112" s="191"/>
      <c r="N112" s="191"/>
      <c r="O112" s="191"/>
      <c r="P112" s="191"/>
      <c r="Q112" s="191"/>
      <c r="R112" s="191"/>
      <c r="S112" s="191"/>
      <c r="T112" s="191"/>
      <c r="U112" s="197"/>
      <c r="V112" s="197"/>
      <c r="W112" s="197"/>
      <c r="X112" s="197"/>
      <c r="Y112" s="197"/>
      <c r="Z112" s="197"/>
      <c r="AA112" s="197"/>
      <c r="AB112" s="197"/>
      <c r="AC112" s="29"/>
      <c r="AD112" s="29"/>
      <c r="AE112" s="29"/>
      <c r="AF112" s="29"/>
      <c r="AG112" s="29"/>
      <c r="AH112" s="29"/>
      <c r="AI112" s="29"/>
      <c r="EY112" s="253"/>
      <c r="EZ112" s="253"/>
      <c r="FA112" s="253"/>
      <c r="FB112" s="253" t="s">
        <v>81</v>
      </c>
    </row>
    <row r="113" s="1" customFormat="1">
      <c r="B113" s="442"/>
      <c r="C113" s="222">
        <f t="shared" si="40"/>
      </c>
      <c r="D113" s="226"/>
      <c r="E113" s="227"/>
      <c r="F113" s="191"/>
      <c r="G113" s="191"/>
      <c r="H113" s="191"/>
      <c r="I113" s="191"/>
      <c r="J113" s="191"/>
      <c r="K113" s="191"/>
      <c r="L113" s="191"/>
      <c r="M113" s="191"/>
      <c r="N113" s="191"/>
      <c r="O113" s="191"/>
      <c r="P113" s="191"/>
      <c r="Q113" s="191"/>
      <c r="R113" s="191"/>
      <c r="S113" s="191"/>
      <c r="T113" s="191"/>
      <c r="U113" s="197"/>
      <c r="V113" s="197"/>
      <c r="W113" s="197"/>
      <c r="X113" s="197"/>
      <c r="Y113" s="197"/>
      <c r="Z113" s="197"/>
      <c r="AA113" s="197"/>
      <c r="AB113" s="197"/>
      <c r="AC113" s="29"/>
      <c r="AD113" s="29"/>
      <c r="AE113" s="29"/>
      <c r="AF113" s="29"/>
      <c r="AG113" s="29"/>
      <c r="AH113" s="29"/>
      <c r="AI113" s="29"/>
      <c r="EY113" s="253"/>
      <c r="EZ113" s="253"/>
      <c r="FA113" s="253"/>
      <c r="FB113" s="253"/>
    </row>
    <row r="114" s="32" customFormat="1">
      <c r="B114" s="441" t="s">
        <v>82</v>
      </c>
      <c r="C114" s="222">
        <f t="shared" si="40"/>
      </c>
      <c r="D114" s="222" t="s">
        <v>83</v>
      </c>
      <c r="E114" s="223"/>
      <c r="F114" s="191"/>
      <c r="G114" s="191"/>
      <c r="H114" s="191"/>
      <c r="I114" s="356"/>
      <c r="J114" s="191"/>
      <c r="K114" s="191"/>
      <c r="L114" s="191"/>
      <c r="M114" s="191"/>
      <c r="N114" s="191"/>
      <c r="O114" s="191"/>
      <c r="P114" s="191"/>
      <c r="Q114" s="191"/>
      <c r="R114" s="191"/>
      <c r="S114" s="191"/>
      <c r="T114" s="191"/>
      <c r="U114" s="231"/>
      <c r="V114" s="231"/>
      <c r="W114" s="231"/>
      <c r="X114" s="231"/>
      <c r="Y114" s="231"/>
      <c r="Z114" s="231"/>
      <c r="AA114" s="231"/>
      <c r="AB114" s="231"/>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EE114" s="30"/>
      <c r="EF114" s="30"/>
      <c r="EG114" s="30"/>
      <c r="EH114" s="30"/>
      <c r="EI114" s="30"/>
      <c r="EJ114" s="30"/>
      <c r="EK114" s="30"/>
      <c r="EL114" s="30"/>
      <c r="EM114" s="30"/>
      <c r="EN114" s="30"/>
      <c r="EO114" s="30"/>
      <c r="EP114" s="30"/>
      <c r="EQ114" s="30"/>
      <c r="ER114" s="30"/>
      <c r="ES114" s="30"/>
      <c r="ET114" s="30"/>
      <c r="EU114" s="30"/>
      <c r="EV114" s="30"/>
      <c r="EW114" s="30"/>
      <c r="EX114" s="30"/>
      <c r="EY114" s="254"/>
      <c r="EZ114" s="254"/>
      <c r="FA114" s="254"/>
      <c r="FB114" s="253" t="s">
        <v>83</v>
      </c>
    </row>
    <row r="115" ht="14.45" customHeight="1">
      <c r="B115" s="442"/>
      <c r="C115" s="222">
        <f t="shared" si="40"/>
      </c>
      <c r="D115" s="222" t="s">
        <v>84</v>
      </c>
      <c r="E115" s="223"/>
      <c r="F115" s="191"/>
      <c r="G115" s="191"/>
      <c r="H115" s="191"/>
      <c r="I115" s="191"/>
      <c r="J115" s="191"/>
      <c r="K115" s="191"/>
      <c r="L115" s="191"/>
      <c r="M115" s="191"/>
      <c r="N115" s="191"/>
      <c r="O115" s="191"/>
      <c r="P115" s="191"/>
      <c r="Q115" s="191"/>
      <c r="R115" s="191"/>
      <c r="S115" s="191"/>
      <c r="T115" s="19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FB115" s="253" t="s">
        <v>84</v>
      </c>
    </row>
    <row r="116">
      <c r="B116" s="441" t="s">
        <v>85</v>
      </c>
      <c r="C116" s="222">
        <f t="shared" si="40"/>
      </c>
      <c r="D116" s="226" t="s">
        <v>86</v>
      </c>
      <c r="E116" s="227"/>
      <c r="F116" s="191"/>
      <c r="G116" s="191"/>
      <c r="H116" s="191"/>
      <c r="I116" s="191"/>
      <c r="J116" s="191"/>
      <c r="K116" s="191"/>
      <c r="L116" s="191"/>
      <c r="M116" s="191"/>
      <c r="N116" s="191"/>
      <c r="O116" s="191"/>
      <c r="P116" s="191"/>
      <c r="Q116" s="191"/>
      <c r="R116" s="191"/>
      <c r="S116" s="191"/>
      <c r="T116" s="19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FB116" s="253" t="s">
        <v>86</v>
      </c>
    </row>
    <row r="117" ht="14.45" customHeight="1">
      <c r="B117" s="442"/>
      <c r="C117" s="222">
        <f t="shared" si="40"/>
      </c>
      <c r="D117" s="222" t="s">
        <v>87</v>
      </c>
      <c r="E117" s="223"/>
      <c r="F117" s="191"/>
      <c r="G117" s="191"/>
      <c r="H117" s="191"/>
      <c r="I117" s="191"/>
      <c r="J117" s="191"/>
      <c r="K117" s="191"/>
      <c r="L117" s="191"/>
      <c r="M117" s="191"/>
      <c r="N117" s="191"/>
      <c r="O117" s="191"/>
      <c r="P117" s="191"/>
      <c r="Q117" s="191"/>
      <c r="R117" s="191"/>
      <c r="S117" s="191"/>
      <c r="T117" s="19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FB117" s="253" t="s">
        <v>87</v>
      </c>
    </row>
    <row r="118">
      <c r="B118" s="454" t="inlineStr">
        <is>
          <t xml:space="preserve">Other Investments</t>
        </is>
      </c>
      <c r="C118" s="222">
        <f t="shared" si="40"/>
      </c>
      <c r="D118" s="222" t="s">
        <v>89</v>
      </c>
      <c r="E118" s="223"/>
      <c r="F118" s="191"/>
      <c r="G118" s="191"/>
      <c r="H118" s="191"/>
      <c r="I118" s="356"/>
      <c r="J118" s="191"/>
      <c r="K118" s="191"/>
      <c r="L118" s="191"/>
      <c r="M118" s="191"/>
      <c r="N118" s="191"/>
      <c r="O118" s="191"/>
      <c r="P118" s="191"/>
      <c r="Q118" s="191"/>
      <c r="R118" s="191"/>
      <c r="S118" s="191"/>
      <c r="T118" s="19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FB118" s="253" t="s">
        <v>89</v>
      </c>
    </row>
    <row r="119">
      <c r="B119" s="455"/>
      <c r="C119" s="222">
        <f t="shared" si="40"/>
      </c>
      <c r="D119" s="222" t="s">
        <v>90</v>
      </c>
      <c r="E119" s="223"/>
      <c r="F119" s="191"/>
      <c r="G119" s="191"/>
      <c r="H119" s="191"/>
      <c r="I119" s="356"/>
      <c r="J119" s="191"/>
      <c r="K119" s="191"/>
      <c r="L119" s="191"/>
      <c r="M119" s="191"/>
      <c r="N119" s="191"/>
      <c r="O119" s="191"/>
      <c r="P119" s="191"/>
      <c r="Q119" s="191"/>
      <c r="R119" s="191"/>
      <c r="S119" s="191"/>
      <c r="T119" s="19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FB119" s="253" t="s">
        <v>90</v>
      </c>
    </row>
    <row r="120">
      <c r="B120" s="433" t="s">
        <v>91</v>
      </c>
      <c r="C120" s="434"/>
      <c r="D120" s="434"/>
      <c r="E120" s="435"/>
      <c r="F120" s="218">
        <f>F96+F102+F104+F106+F110+F112+F114+F116+F118+F98+F100+F108</f>
      </c>
      <c r="G120" s="218">
        <f t="shared" ref="G120:T120" si="44">G96+G102+G104+G106+G110+G112+G114+G116+G118+G98+G100+G108</f>
      </c>
      <c r="H120" s="218">
        <f t="shared" si="44"/>
      </c>
      <c r="I120" s="218">
        <f t="shared" si="44"/>
      </c>
      <c r="J120" s="218">
        <f t="shared" si="44"/>
      </c>
      <c r="K120" s="218">
        <f t="shared" si="44"/>
      </c>
      <c r="L120" s="218">
        <f t="shared" si="44"/>
      </c>
      <c r="M120" s="218">
        <f t="shared" si="44"/>
      </c>
      <c r="N120" s="218">
        <f t="shared" si="44"/>
      </c>
      <c r="O120" s="218">
        <f t="shared" si="44"/>
      </c>
      <c r="P120" s="218">
        <f t="shared" si="44"/>
      </c>
      <c r="Q120" s="218">
        <f t="shared" si="44"/>
      </c>
      <c r="R120" s="218">
        <f t="shared" si="44"/>
      </c>
      <c r="S120" s="218">
        <f t="shared" si="44"/>
      </c>
      <c r="T120" s="218">
        <f t="shared" si="44"/>
      </c>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FB120" s="254" t="s">
        <v>91</v>
      </c>
    </row>
    <row r="121" ht="14.45" customHeight="1">
      <c r="B121" s="433" t="s">
        <v>92</v>
      </c>
      <c r="C121" s="434"/>
      <c r="D121" s="434"/>
      <c r="E121" s="435"/>
      <c r="F121" s="218">
        <f>F97+F103+F105+F107+F111+F113+F115+F117+F119+F99+F101+F109</f>
      </c>
      <c r="G121" s="218">
        <f t="shared" ref="G121:T121" si="45">G97+G103+G105+G107+G111+G113+G115+G117+G119+G99+G101+G109</f>
      </c>
      <c r="H121" s="218">
        <f t="shared" si="45"/>
      </c>
      <c r="I121" s="218">
        <f t="shared" si="45"/>
      </c>
      <c r="J121" s="218">
        <f t="shared" si="45"/>
      </c>
      <c r="K121" s="218">
        <f t="shared" si="45"/>
      </c>
      <c r="L121" s="218">
        <f t="shared" si="45"/>
      </c>
      <c r="M121" s="218">
        <f t="shared" si="45"/>
      </c>
      <c r="N121" s="218">
        <f t="shared" si="45"/>
      </c>
      <c r="O121" s="218">
        <f t="shared" si="45"/>
      </c>
      <c r="P121" s="218">
        <f t="shared" si="45"/>
      </c>
      <c r="Q121" s="218">
        <f t="shared" si="45"/>
      </c>
      <c r="R121" s="218">
        <f t="shared" si="45"/>
      </c>
      <c r="S121" s="218">
        <f t="shared" si="45"/>
      </c>
      <c r="T121" s="218">
        <f t="shared" si="45"/>
      </c>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FB121" s="254" t="s">
        <v>92</v>
      </c>
    </row>
    <row r="122">
      <c r="B122" s="433" t="s">
        <v>93</v>
      </c>
      <c r="C122" s="434"/>
      <c r="D122" s="434"/>
      <c r="E122" s="435"/>
      <c r="F122" s="232"/>
      <c r="G122" s="232"/>
      <c r="H122" s="232"/>
      <c r="I122" s="232"/>
      <c r="J122" s="232"/>
      <c r="K122" s="232"/>
      <c r="L122" s="232"/>
      <c r="M122" s="232"/>
      <c r="N122" s="232"/>
      <c r="O122" s="232"/>
      <c r="P122" s="232"/>
      <c r="Q122" s="232"/>
      <c r="R122" s="232"/>
      <c r="S122" s="232"/>
      <c r="T122" s="232"/>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FB122" s="254"/>
    </row>
    <row r="123" ht="43.15" customHeight="1">
      <c r="B123" s="436" t="s">
        <v>94</v>
      </c>
      <c r="C123" s="437"/>
      <c r="D123" s="437"/>
      <c r="E123" s="438"/>
      <c r="F123" s="233"/>
      <c r="G123" s="233"/>
      <c r="H123" s="233"/>
      <c r="I123" s="233"/>
      <c r="J123" s="233"/>
      <c r="K123" s="233"/>
      <c r="L123" s="233"/>
      <c r="M123" s="233"/>
      <c r="N123" s="233"/>
      <c r="O123" s="233"/>
      <c r="P123" s="233"/>
      <c r="Q123" s="233"/>
      <c r="R123" s="233"/>
      <c r="S123" s="233"/>
      <c r="T123" s="233"/>
      <c r="U123" s="234"/>
      <c r="V123" s="234"/>
      <c r="W123" s="234"/>
      <c r="X123" s="234"/>
      <c r="Y123" s="234"/>
      <c r="Z123" s="234"/>
      <c r="AA123" s="234"/>
      <c r="AB123" s="234"/>
      <c r="AC123" s="160"/>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FB123" s="254"/>
    </row>
    <row r="124" ht="15" customHeight="1">
      <c r="C124" s="187">
        <f>TEXT(B124,"yyyy")</f>
      </c>
      <c r="F124" s="235">
        <f>F95</f>
      </c>
      <c r="G124" s="235">
        <f t="shared" ref="G124:Q124" si="46">G95</f>
      </c>
      <c r="H124" s="235">
        <f t="shared" si="46"/>
      </c>
      <c r="I124" s="235">
        <f t="shared" si="46"/>
      </c>
      <c r="J124" s="235">
        <f t="shared" si="46"/>
      </c>
      <c r="K124" s="235">
        <f t="shared" si="46"/>
      </c>
      <c r="L124" s="235">
        <f t="shared" si="46"/>
      </c>
      <c r="M124" s="235">
        <f t="shared" si="46"/>
      </c>
      <c r="N124" s="235">
        <f t="shared" si="46"/>
      </c>
      <c r="O124" s="235">
        <f t="shared" si="46"/>
      </c>
      <c r="P124" s="235">
        <f t="shared" si="46"/>
      </c>
      <c r="Q124" s="235">
        <f t="shared" si="46"/>
      </c>
      <c r="R124" s="235">
        <f t="shared" ref="R124:T124" si="47">R95</f>
      </c>
      <c r="S124" s="235">
        <f t="shared" si="47"/>
      </c>
      <c r="T124" s="235">
        <f t="shared" si="47"/>
      </c>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FB124" s="254"/>
    </row>
    <row r="125">
      <c r="B125" s="417" t="s">
        <v>95</v>
      </c>
      <c r="C125" s="418"/>
      <c r="D125" s="418"/>
      <c r="E125" s="419"/>
      <c r="F125" s="236">
        <f>F64+F89+F120</f>
      </c>
      <c r="G125" s="236">
        <f t="shared" ref="G125:T125" si="48">G64+G89+G120</f>
      </c>
      <c r="H125" s="236">
        <f t="shared" si="48"/>
      </c>
      <c r="I125" s="236">
        <f t="shared" si="48"/>
      </c>
      <c r="J125" s="236">
        <f t="shared" si="48"/>
      </c>
      <c r="K125" s="236">
        <f t="shared" si="48"/>
      </c>
      <c r="L125" s="236">
        <f t="shared" si="48"/>
      </c>
      <c r="M125" s="236">
        <f t="shared" si="48"/>
      </c>
      <c r="N125" s="236">
        <f t="shared" si="48"/>
      </c>
      <c r="O125" s="236">
        <f t="shared" si="48"/>
      </c>
      <c r="P125" s="236">
        <f t="shared" si="48"/>
      </c>
      <c r="Q125" s="236">
        <f t="shared" si="48"/>
      </c>
      <c r="R125" s="236">
        <f t="shared" si="48"/>
      </c>
      <c r="S125" s="236">
        <f t="shared" si="48"/>
      </c>
      <c r="T125" s="236">
        <f t="shared" si="48"/>
      </c>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FB125" s="253" t="s">
        <v>95</v>
      </c>
    </row>
    <row r="126">
      <c r="B126" s="417" t="s">
        <v>96</v>
      </c>
      <c r="C126" s="418"/>
      <c r="D126" s="418"/>
      <c r="E126" s="419"/>
      <c r="F126" s="236">
        <f>F65+F90</f>
      </c>
      <c r="G126" s="236">
        <f t="shared" ref="G126:T126" si="49">G65+G90</f>
      </c>
      <c r="H126" s="236">
        <f t="shared" si="49"/>
      </c>
      <c r="I126" s="236">
        <f t="shared" si="49"/>
      </c>
      <c r="J126" s="236">
        <f t="shared" si="49"/>
      </c>
      <c r="K126" s="236">
        <f t="shared" si="49"/>
      </c>
      <c r="L126" s="236">
        <f t="shared" si="49"/>
      </c>
      <c r="M126" s="236">
        <f t="shared" si="49"/>
      </c>
      <c r="N126" s="236">
        <f t="shared" si="49"/>
      </c>
      <c r="O126" s="236">
        <f t="shared" si="49"/>
      </c>
      <c r="P126" s="236">
        <f t="shared" si="49"/>
      </c>
      <c r="Q126" s="236">
        <f t="shared" si="49"/>
      </c>
      <c r="R126" s="236">
        <f t="shared" si="49"/>
      </c>
      <c r="S126" s="236">
        <f t="shared" si="49"/>
      </c>
      <c r="T126" s="236">
        <f t="shared" si="49"/>
      </c>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FB126" s="253" t="s">
        <v>96</v>
      </c>
    </row>
    <row r="127" ht="14.45" customHeight="1">
      <c r="B127" s="417" t="s">
        <v>97</v>
      </c>
      <c r="C127" s="418"/>
      <c r="D127" s="418"/>
      <c r="E127" s="419"/>
      <c r="F127" s="236">
        <f>F65+F90+F121</f>
      </c>
      <c r="G127" s="236">
        <f t="shared" ref="G127:T127" si="50">G65+G90+G121</f>
      </c>
      <c r="H127" s="236">
        <f t="shared" si="50"/>
      </c>
      <c r="I127" s="236">
        <f t="shared" si="50"/>
      </c>
      <c r="J127" s="236">
        <f t="shared" si="50"/>
      </c>
      <c r="K127" s="236">
        <f t="shared" si="50"/>
      </c>
      <c r="L127" s="236">
        <f t="shared" si="50"/>
      </c>
      <c r="M127" s="236">
        <f t="shared" si="50"/>
      </c>
      <c r="N127" s="236">
        <f t="shared" si="50"/>
      </c>
      <c r="O127" s="236">
        <f t="shared" si="50"/>
      </c>
      <c r="P127" s="236">
        <f t="shared" si="50"/>
      </c>
      <c r="Q127" s="236">
        <f t="shared" si="50"/>
      </c>
      <c r="R127" s="236">
        <f t="shared" si="50"/>
      </c>
      <c r="S127" s="236">
        <f t="shared" si="50"/>
      </c>
      <c r="T127" s="236">
        <f t="shared" si="50"/>
      </c>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FB127" s="253" t="s">
        <v>97</v>
      </c>
    </row>
    <row r="128">
      <c r="C128" s="187">
        <f t="shared" ref="C128:C131" si="51">TEXT(B128,"yyyy")</f>
      </c>
      <c r="F128" s="220"/>
      <c r="G128" s="220"/>
      <c r="H128" s="220"/>
      <c r="I128" s="220"/>
      <c r="J128" s="220"/>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FB128" s="254"/>
    </row>
    <row r="129">
      <c r="C129" s="187">
        <f t="shared" si="51"/>
      </c>
      <c r="F129" s="237"/>
      <c r="G129" s="237"/>
      <c r="H129" s="237"/>
      <c r="I129" s="237"/>
      <c r="J129" s="237"/>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FB129" s="254"/>
    </row>
    <row r="130" ht="18.600000000000001">
      <c r="B130" s="420" t="s">
        <v>98</v>
      </c>
      <c r="C130" s="420"/>
      <c r="D130" s="420"/>
      <c r="E130" s="420"/>
      <c r="F130" s="238">
        <f>F95</f>
      </c>
      <c r="G130" s="238">
        <f t="shared" ref="G130:T130" si="52">G95</f>
      </c>
      <c r="H130" s="238">
        <f t="shared" si="52"/>
      </c>
      <c r="I130" s="238">
        <f t="shared" si="52"/>
      </c>
      <c r="J130" s="238">
        <f t="shared" si="52"/>
      </c>
      <c r="K130" s="238">
        <f t="shared" si="52"/>
      </c>
      <c r="L130" s="238">
        <f t="shared" si="52"/>
      </c>
      <c r="M130" s="238">
        <f t="shared" si="52"/>
      </c>
      <c r="N130" s="238">
        <f t="shared" si="52"/>
      </c>
      <c r="O130" s="238">
        <f t="shared" si="52"/>
      </c>
      <c r="P130" s="238">
        <f t="shared" si="52"/>
      </c>
      <c r="Q130" s="238">
        <f t="shared" si="52"/>
      </c>
      <c r="R130" s="238">
        <f t="shared" si="52"/>
      </c>
      <c r="S130" s="238">
        <f t="shared" si="52"/>
      </c>
      <c r="T130" s="238">
        <f t="shared" si="52"/>
      </c>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FB130" s="254"/>
    </row>
    <row r="131" ht="14.45" customHeight="1">
      <c r="B131" s="239" t="s">
        <v>99</v>
      </c>
      <c r="C131" s="240">
        <f t="shared" si="51"/>
      </c>
      <c r="D131" s="240" t="s">
        <v>100</v>
      </c>
      <c r="E131" s="240"/>
      <c r="F131" s="241"/>
      <c r="G131" s="241"/>
      <c r="H131" s="241"/>
      <c r="I131" s="241"/>
      <c r="J131" s="241"/>
      <c r="K131" s="241"/>
      <c r="L131" s="241"/>
      <c r="M131" s="241"/>
      <c r="N131" s="241"/>
      <c r="O131" s="241"/>
      <c r="P131" s="241"/>
      <c r="Q131" s="241"/>
      <c r="R131" s="241"/>
      <c r="S131" s="241"/>
      <c r="T131" s="24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FB131" s="256" t="s">
        <v>100</v>
      </c>
    </row>
    <row r="132">
      <c r="B132" s="239" t="s">
        <v>101</v>
      </c>
      <c r="C132" s="240">
        <f t="shared" ref="C132:C136" si="53">TEXT(B132,"yyyy")</f>
      </c>
      <c r="D132" s="240" t="s">
        <v>102</v>
      </c>
      <c r="E132" s="240"/>
      <c r="F132" s="241"/>
      <c r="G132" s="241"/>
      <c r="H132" s="241"/>
      <c r="I132" s="241"/>
      <c r="J132" s="241"/>
      <c r="K132" s="241"/>
      <c r="L132" s="241"/>
      <c r="M132" s="241"/>
      <c r="N132" s="241"/>
      <c r="O132" s="241"/>
      <c r="P132" s="241"/>
      <c r="Q132" s="241"/>
      <c r="R132" s="241"/>
      <c r="S132" s="241"/>
      <c r="T132" s="24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FB132" s="256" t="s">
        <v>102</v>
      </c>
    </row>
    <row r="133">
      <c r="B133" s="239" t="s">
        <v>103</v>
      </c>
      <c r="C133" s="240">
        <f t="shared" si="53"/>
      </c>
      <c r="D133" s="242" t="s">
        <v>104</v>
      </c>
      <c r="E133" s="242"/>
      <c r="F133" s="241"/>
      <c r="G133" s="241"/>
      <c r="H133" s="241"/>
      <c r="I133" s="241"/>
      <c r="J133" s="241"/>
      <c r="K133" s="241"/>
      <c r="L133" s="241"/>
      <c r="M133" s="241"/>
      <c r="N133" s="241"/>
      <c r="O133" s="241"/>
      <c r="P133" s="241"/>
      <c r="Q133" s="241"/>
      <c r="R133" s="241"/>
      <c r="S133" s="241"/>
      <c r="T133" s="24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FB133" s="256" t="s">
        <v>104</v>
      </c>
    </row>
    <row r="134">
      <c r="B134" s="239" t="s">
        <v>105</v>
      </c>
      <c r="C134" s="243">
        <f t="shared" si="53"/>
      </c>
      <c r="D134" s="244" t="s">
        <v>106</v>
      </c>
      <c r="E134" s="245"/>
      <c r="F134" s="246"/>
      <c r="G134" s="241"/>
      <c r="H134" s="241"/>
      <c r="I134" s="241"/>
      <c r="J134" s="241"/>
      <c r="K134" s="241"/>
      <c r="L134" s="241"/>
      <c r="M134" s="241"/>
      <c r="N134" s="241"/>
      <c r="O134" s="241"/>
      <c r="P134" s="241"/>
      <c r="Q134" s="241"/>
      <c r="R134" s="241"/>
      <c r="S134" s="241"/>
      <c r="T134" s="24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FB134" s="256" t="s">
        <v>106</v>
      </c>
    </row>
    <row r="135">
      <c r="B135" s="239" t="s">
        <v>62</v>
      </c>
      <c r="C135" s="243">
        <f t="shared" si="53"/>
      </c>
      <c r="D135" s="243" t="s">
        <v>106</v>
      </c>
      <c r="E135" s="247"/>
      <c r="F135" s="246"/>
      <c r="G135" s="241"/>
      <c r="H135" s="241"/>
      <c r="I135" s="241"/>
      <c r="J135" s="241"/>
      <c r="K135" s="241"/>
      <c r="L135" s="241"/>
      <c r="M135" s="241"/>
      <c r="N135" s="241"/>
      <c r="O135" s="241"/>
      <c r="P135" s="241"/>
      <c r="Q135" s="241"/>
      <c r="R135" s="241"/>
      <c r="S135" s="241"/>
      <c r="T135" s="24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FB135" s="256" t="s">
        <v>106</v>
      </c>
    </row>
    <row r="136" s="123" customFormat="1">
      <c r="B136" s="239" t="s">
        <v>107</v>
      </c>
      <c r="C136" s="240">
        <f t="shared" si="53"/>
      </c>
      <c r="D136" s="248" t="s">
        <v>108</v>
      </c>
      <c r="E136" s="248"/>
      <c r="F136" s="241"/>
      <c r="G136" s="241"/>
      <c r="H136" s="241"/>
      <c r="I136" s="241"/>
      <c r="J136" s="241"/>
      <c r="K136" s="241"/>
      <c r="L136" s="241"/>
      <c r="M136" s="241"/>
      <c r="N136" s="241"/>
      <c r="O136" s="241"/>
      <c r="P136" s="241"/>
      <c r="Q136" s="241"/>
      <c r="R136" s="241"/>
      <c r="S136" s="241"/>
      <c r="T136" s="241"/>
      <c r="U136" s="163"/>
      <c r="V136" s="163"/>
      <c r="W136" s="163"/>
      <c r="X136" s="163"/>
      <c r="Y136" s="163"/>
      <c r="Z136" s="163"/>
      <c r="AA136" s="163"/>
      <c r="AB136" s="163"/>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c r="AW136" s="122"/>
      <c r="AX136" s="122"/>
      <c r="AY136" s="122"/>
      <c r="AZ136" s="122"/>
      <c r="BA136" s="122"/>
      <c r="BB136" s="122"/>
      <c r="BC136" s="122"/>
      <c r="BD136" s="122"/>
      <c r="BE136" s="122"/>
      <c r="BF136" s="122"/>
      <c r="BG136" s="122"/>
      <c r="BH136" s="122"/>
      <c r="BI136" s="122"/>
      <c r="BJ136" s="122"/>
      <c r="BK136" s="122"/>
      <c r="BL136" s="122"/>
      <c r="BM136" s="122"/>
      <c r="BN136" s="122"/>
      <c r="BO136" s="122"/>
      <c r="BP136" s="122"/>
      <c r="EE136" s="122"/>
      <c r="EF136" s="122"/>
      <c r="EG136" s="122"/>
      <c r="EH136" s="122"/>
      <c r="EI136" s="122"/>
      <c r="EJ136" s="122"/>
      <c r="EK136" s="122"/>
      <c r="EL136" s="122"/>
      <c r="EM136" s="122"/>
      <c r="EN136" s="122"/>
      <c r="EO136" s="122"/>
      <c r="EP136" s="122"/>
      <c r="EQ136" s="122"/>
      <c r="ER136" s="122"/>
      <c r="ES136" s="122"/>
      <c r="ET136" s="122"/>
      <c r="EU136" s="122"/>
      <c r="EV136" s="122"/>
      <c r="EW136" s="122"/>
      <c r="EX136" s="122"/>
      <c r="EY136" s="257"/>
      <c r="EZ136" s="257"/>
      <c r="FA136" s="257"/>
      <c r="FB136" s="256" t="s">
        <v>108</v>
      </c>
    </row>
    <row r="137">
      <c r="B137" s="239" t="s">
        <v>109</v>
      </c>
      <c r="C137" s="240">
        <f t="shared" ref="C137:C138" si="54">TEXT(B137,"yyyy")</f>
      </c>
      <c r="D137" s="240" t="s">
        <v>110</v>
      </c>
      <c r="E137" s="240"/>
      <c r="F137" s="241"/>
      <c r="G137" s="241"/>
      <c r="H137" s="241"/>
      <c r="I137" s="241"/>
      <c r="J137" s="241"/>
      <c r="K137" s="241"/>
      <c r="L137" s="241"/>
      <c r="M137" s="241"/>
      <c r="N137" s="241"/>
      <c r="O137" s="241"/>
      <c r="P137" s="241"/>
      <c r="Q137" s="241"/>
      <c r="R137" s="241"/>
      <c r="S137" s="241"/>
      <c r="T137" s="24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FB137" s="256" t="s">
        <v>110</v>
      </c>
    </row>
    <row r="138">
      <c r="B138" s="239" t="s">
        <v>111</v>
      </c>
      <c r="C138" s="240">
        <f t="shared" si="54"/>
      </c>
      <c r="D138" s="240" t="s">
        <v>112</v>
      </c>
      <c r="E138" s="240"/>
      <c r="F138" s="241"/>
      <c r="G138" s="241"/>
      <c r="H138" s="241"/>
      <c r="I138" s="241"/>
      <c r="J138" s="241"/>
      <c r="K138" s="241"/>
      <c r="L138" s="241"/>
      <c r="M138" s="241"/>
      <c r="N138" s="241"/>
      <c r="O138" s="241"/>
      <c r="P138" s="241"/>
      <c r="Q138" s="241"/>
      <c r="R138" s="241"/>
      <c r="S138" s="241"/>
      <c r="T138" s="24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FB138" s="256" t="s">
        <v>112</v>
      </c>
    </row>
    <row r="139" s="1" customFormat="1">
      <c r="B139" s="239" t="s">
        <v>113</v>
      </c>
      <c r="C139" s="240">
        <f t="shared" ref="C139" si="55">TEXT(B139,"yyyy")</f>
      </c>
      <c r="D139" s="240" t="s">
        <v>114</v>
      </c>
      <c r="E139" s="240"/>
      <c r="F139" s="241"/>
      <c r="G139" s="241"/>
      <c r="H139" s="241"/>
      <c r="I139" s="241"/>
      <c r="J139" s="241"/>
      <c r="K139" s="241"/>
      <c r="L139" s="241"/>
      <c r="M139" s="241"/>
      <c r="N139" s="241"/>
      <c r="O139" s="241"/>
      <c r="P139" s="241"/>
      <c r="Q139" s="241"/>
      <c r="R139" s="241"/>
      <c r="S139" s="241"/>
      <c r="T139" s="241"/>
      <c r="U139" s="187"/>
      <c r="V139" s="187"/>
      <c r="W139" s="187"/>
      <c r="X139" s="187"/>
      <c r="Y139" s="187"/>
      <c r="Z139" s="187"/>
      <c r="AA139" s="187"/>
      <c r="AB139" s="187"/>
      <c r="EY139" s="253"/>
      <c r="EZ139" s="253"/>
      <c r="FA139" s="253"/>
      <c r="FB139" s="256" t="s">
        <v>114</v>
      </c>
    </row>
    <row r="140" s="1" customFormat="1" ht="29.1">
      <c r="B140" s="239" t="s">
        <v>115</v>
      </c>
      <c r="C140" s="240">
        <f t="shared" ref="C140" si="56">TEXT(B140,"yyyy")</f>
      </c>
      <c r="D140" s="240" t="s">
        <v>116</v>
      </c>
      <c r="E140" s="240"/>
      <c r="F140" s="241"/>
      <c r="G140" s="241"/>
      <c r="H140" s="241"/>
      <c r="I140" s="241"/>
      <c r="J140" s="241"/>
      <c r="K140" s="241"/>
      <c r="L140" s="241"/>
      <c r="M140" s="241"/>
      <c r="N140" s="241"/>
      <c r="O140" s="241"/>
      <c r="P140" s="241"/>
      <c r="Q140" s="241"/>
      <c r="R140" s="241"/>
      <c r="S140" s="241"/>
      <c r="T140" s="241"/>
      <c r="U140" s="187"/>
      <c r="V140" s="187"/>
      <c r="W140" s="187"/>
      <c r="X140" s="187"/>
      <c r="Y140" s="187"/>
      <c r="Z140" s="187"/>
      <c r="AA140" s="187"/>
      <c r="AB140" s="187"/>
      <c r="EY140" s="253"/>
      <c r="EZ140" s="253"/>
      <c r="FA140" s="253"/>
      <c r="FB140" s="256" t="s">
        <v>116</v>
      </c>
    </row>
    <row r="141" s="120" customFormat="1" ht="21" customHeight="1">
      <c r="B141" s="416" t="s">
        <v>117</v>
      </c>
      <c r="C141" s="416"/>
      <c r="D141" s="416"/>
      <c r="E141" s="416"/>
      <c r="F141" s="284">
        <f t="shared" ref="F141:T141" si="57">SUM(F131:F140)</f>
      </c>
      <c r="G141" s="284">
        <f t="shared" si="57"/>
      </c>
      <c r="H141" s="284">
        <f t="shared" si="57"/>
      </c>
      <c r="I141" s="284">
        <f t="shared" si="57"/>
      </c>
      <c r="J141" s="284">
        <f t="shared" si="57"/>
      </c>
      <c r="K141" s="284">
        <f t="shared" si="57"/>
      </c>
      <c r="L141" s="284">
        <f t="shared" si="57"/>
      </c>
      <c r="M141" s="284">
        <f t="shared" si="57"/>
      </c>
      <c r="N141" s="284">
        <f t="shared" si="57"/>
      </c>
      <c r="O141" s="284">
        <f t="shared" si="57"/>
      </c>
      <c r="P141" s="284">
        <f t="shared" si="57"/>
      </c>
      <c r="Q141" s="284">
        <f t="shared" si="57"/>
      </c>
      <c r="R141" s="284">
        <f t="shared" si="57"/>
      </c>
      <c r="S141" s="284">
        <f t="shared" si="57"/>
      </c>
      <c r="T141" s="284">
        <f t="shared" si="57"/>
      </c>
      <c r="U141" s="285"/>
      <c r="V141" s="285"/>
      <c r="W141" s="285"/>
      <c r="X141" s="285"/>
      <c r="Y141" s="285"/>
      <c r="Z141" s="285"/>
      <c r="AA141" s="285"/>
      <c r="AB141" s="285"/>
      <c r="EY141" s="256"/>
      <c r="EZ141" s="256"/>
      <c r="FA141" s="256"/>
      <c r="FB141" s="286" t="s">
        <v>117</v>
      </c>
    </row>
  </sheetData>
  <mergeCells count="74">
    <mergeCell ref="F2:F3"/>
    <mergeCell ref="G2:G3"/>
    <mergeCell ref="B16:B25"/>
    <mergeCell ref="D16:D19"/>
    <mergeCell ref="D20:D23"/>
    <mergeCell ref="D24:E24"/>
    <mergeCell ref="D25:E25"/>
    <mergeCell ref="B5:E5"/>
    <mergeCell ref="B6:B15"/>
    <mergeCell ref="D6:D9"/>
    <mergeCell ref="D10:D13"/>
    <mergeCell ref="D14:E14"/>
    <mergeCell ref="D15:E15"/>
    <mergeCell ref="B26:B35"/>
    <mergeCell ref="D26:D29"/>
    <mergeCell ref="D30:D33"/>
    <mergeCell ref="D34:E34"/>
    <mergeCell ref="D35:E35"/>
    <mergeCell ref="FA56:FA59"/>
    <mergeCell ref="D60:D63"/>
    <mergeCell ref="FA60:FA63"/>
    <mergeCell ref="B64:E64"/>
    <mergeCell ref="B65:E65"/>
    <mergeCell ref="B56:B63"/>
    <mergeCell ref="D56:D59"/>
    <mergeCell ref="B118:B119"/>
    <mergeCell ref="B120:E120"/>
    <mergeCell ref="B121:E121"/>
    <mergeCell ref="B95:E95"/>
    <mergeCell ref="B96:B97"/>
    <mergeCell ref="B102:B103"/>
    <mergeCell ref="B104:B105"/>
    <mergeCell ref="B106:B107"/>
    <mergeCell ref="B110:B111"/>
    <mergeCell ref="B108:B109"/>
    <mergeCell ref="B98:B99"/>
    <mergeCell ref="B100:B101"/>
    <mergeCell ref="B66:E66"/>
    <mergeCell ref="B36:B45"/>
    <mergeCell ref="D36:D39"/>
    <mergeCell ref="D40:D43"/>
    <mergeCell ref="B116:B117"/>
    <mergeCell ref="B89:E89"/>
    <mergeCell ref="B90:E90"/>
    <mergeCell ref="B91:E91"/>
    <mergeCell ref="B92:E92"/>
    <mergeCell ref="B85:B86"/>
    <mergeCell ref="D44:E44"/>
    <mergeCell ref="D45:E45"/>
    <mergeCell ref="B83:B84"/>
    <mergeCell ref="B79:B80"/>
    <mergeCell ref="B81:B82"/>
    <mergeCell ref="B67:E67"/>
    <mergeCell ref="B70:E70"/>
    <mergeCell ref="B71:B72"/>
    <mergeCell ref="B73:B74"/>
    <mergeCell ref="B75:B76"/>
    <mergeCell ref="B77:B78"/>
    <mergeCell ref="B141:E141"/>
    <mergeCell ref="B127:E127"/>
    <mergeCell ref="B130:E130"/>
    <mergeCell ref="B2:E3"/>
    <mergeCell ref="B46:B55"/>
    <mergeCell ref="D46:D49"/>
    <mergeCell ref="D50:D53"/>
    <mergeCell ref="D54:E54"/>
    <mergeCell ref="D55:E55"/>
    <mergeCell ref="B122:E122"/>
    <mergeCell ref="B123:E123"/>
    <mergeCell ref="B125:E125"/>
    <mergeCell ref="B126:E126"/>
    <mergeCell ref="B87:B88"/>
    <mergeCell ref="B112:B113"/>
    <mergeCell ref="B114:B1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E156"/>
  <sheetViews>
    <sheetView topLeftCell="A37" zoomScaleNormal="100" workbookViewId="0">
      <selection activeCell="H59" sqref="H59"/>
    </sheetView>
  </sheetViews>
  <sheetFormatPr defaultColWidth="8.85546875" defaultRowHeight="14.45"/>
  <cols>
    <col min="1" max="1" width="8.85546875" style="3"/>
    <col min="2" max="2" width="4.42578125" style="3" customWidth="1"/>
    <col min="3" max="3" width="9.140625" style="3" customWidth="1"/>
    <col min="4" max="4" width="3.85546875" style="3" customWidth="1"/>
    <col min="5" max="5" width="28.7109375" style="3" customWidth="1"/>
    <col min="6" max="6" width="4.7109375" style="3" customWidth="1"/>
    <col min="7" max="7" width="18.85546875" style="3" customWidth="1"/>
    <col min="8" max="8" width="4.7109375" style="4" customWidth="1"/>
    <col min="9" max="9" width="19" style="3" customWidth="1"/>
    <col min="10" max="10" width="4.7109375" style="4" customWidth="1"/>
    <col min="11" max="11" width="19.42578125" style="3" customWidth="1"/>
    <col min="12" max="12" width="5.28515625" style="4" customWidth="1"/>
    <col min="13" max="13" width="20.7109375" style="3" customWidth="1"/>
    <col min="14" max="14" width="4.7109375" style="19" customWidth="1"/>
    <col min="15" max="15" width="8.85546875" style="4" hidden="1" customWidth="1"/>
    <col min="16" max="16" width="10.42578125" style="4" hidden="1" customWidth="1"/>
    <col min="17" max="17" width="9.42578125" style="4" hidden="1" customWidth="1"/>
    <col min="18" max="26" width="8.85546875" style="3" hidden="1" customWidth="1"/>
    <col min="27" max="27" width="14.42578125" style="3" bestFit="1" customWidth="1"/>
    <col min="28" max="28" width="19.42578125" style="3" customWidth="1"/>
    <col min="29" max="29" width="8.85546875" style="3"/>
    <col min="30" max="30" width="20.42578125" style="3" customWidth="1"/>
    <col min="31" max="16384" width="8.85546875" style="3"/>
  </cols>
  <sheetData>
    <row r="2" ht="57" customHeight="1">
      <c r="B2" s="509"/>
      <c r="C2" s="510"/>
      <c r="D2" s="510"/>
      <c r="E2" s="510"/>
      <c r="F2" s="511"/>
      <c r="G2" s="511"/>
      <c r="H2" s="511"/>
      <c r="I2" s="511"/>
      <c r="J2" s="511"/>
      <c r="K2" s="511"/>
      <c r="L2" s="511"/>
      <c r="M2" s="511"/>
      <c r="N2" s="512"/>
      <c r="R2" s="19"/>
      <c r="S2" s="19"/>
    </row>
    <row r="3" ht="12.2" customHeight="1">
      <c r="B3" s="39"/>
      <c r="C3" s="40"/>
      <c r="D3" s="40"/>
      <c r="E3" s="40"/>
      <c r="F3" s="41"/>
      <c r="G3" s="41"/>
      <c r="H3" s="41"/>
      <c r="I3" s="41"/>
      <c r="J3" s="41"/>
      <c r="K3" s="41"/>
      <c r="L3" s="41"/>
      <c r="M3" s="41"/>
      <c r="N3" s="42"/>
      <c r="R3" s="19"/>
      <c r="S3" s="19"/>
    </row>
    <row r="4" ht="9.4" customHeight="1">
      <c r="R4" s="19"/>
      <c r="S4" s="19"/>
    </row>
    <row r="5" ht="21" customHeight="1">
      <c r="B5" s="500" t="s">
        <v>118</v>
      </c>
      <c r="C5" s="500"/>
      <c r="D5" s="500"/>
      <c r="E5" s="500"/>
      <c r="F5" s="500"/>
      <c r="G5" s="500"/>
      <c r="H5" s="500"/>
      <c r="I5" s="500"/>
      <c r="J5" s="500"/>
      <c r="K5" s="500"/>
      <c r="L5" s="500"/>
      <c r="M5" s="500"/>
      <c r="N5" s="500"/>
      <c r="R5" s="19"/>
      <c r="S5" s="19"/>
      <c r="AA5" s="44"/>
    </row>
    <row r="6" ht="9.6" customHeight="1">
      <c r="C6" s="45"/>
      <c r="D6" s="46"/>
      <c r="E6" s="46"/>
      <c r="R6" s="19"/>
      <c r="S6" s="19"/>
    </row>
    <row r="7" ht="14.1" customHeight="1">
      <c r="B7" s="47"/>
      <c r="C7" s="48"/>
      <c r="D7" s="49"/>
      <c r="E7" s="49"/>
      <c r="F7" s="5"/>
      <c r="G7" s="5"/>
      <c r="H7" s="6"/>
      <c r="I7" s="5"/>
      <c r="J7" s="6"/>
      <c r="K7" s="5"/>
      <c r="L7" s="6"/>
      <c r="M7" s="5"/>
      <c r="N7" s="50"/>
      <c r="R7" s="19"/>
      <c r="S7" s="19"/>
    </row>
    <row r="8" ht="21" customHeight="1">
      <c r="B8" s="51"/>
      <c r="C8" s="506" t="s">
        <v>119</v>
      </c>
      <c r="D8" s="506"/>
      <c r="E8" s="506"/>
      <c r="G8" s="506" t="s">
        <v>120</v>
      </c>
      <c r="H8" s="506"/>
      <c r="I8" s="506"/>
      <c r="K8" s="507" t="s">
        <v>121</v>
      </c>
      <c r="L8" s="507"/>
      <c r="M8" s="507"/>
      <c r="N8" s="52"/>
      <c r="R8" s="19"/>
      <c r="S8" s="19"/>
    </row>
    <row r="9" ht="21" customHeight="1">
      <c r="B9" s="51"/>
      <c r="C9" s="508">
        <f>'1'!$D$17</f>
      </c>
      <c r="D9" s="508"/>
      <c r="E9" s="508"/>
      <c r="G9" s="497"/>
      <c r="H9" s="497"/>
      <c r="I9" s="497"/>
      <c r="K9" s="497"/>
      <c r="L9" s="497"/>
      <c r="M9" s="497"/>
      <c r="N9" s="52"/>
      <c r="R9" s="19"/>
      <c r="S9" s="19"/>
    </row>
    <row r="10" ht="11.1" customHeight="1">
      <c r="B10" s="51"/>
      <c r="C10" s="45"/>
      <c r="D10" s="46"/>
      <c r="E10" s="46"/>
      <c r="N10" s="52"/>
      <c r="R10" s="19"/>
      <c r="S10" s="19"/>
    </row>
    <row r="11" ht="21" customHeight="1">
      <c r="B11" s="51"/>
      <c r="C11" s="506" t="s">
        <v>122</v>
      </c>
      <c r="D11" s="506"/>
      <c r="E11" s="506"/>
      <c r="G11" s="506" t="s">
        <v>123</v>
      </c>
      <c r="H11" s="506"/>
      <c r="I11" s="506"/>
      <c r="K11" s="507" t="s">
        <v>124</v>
      </c>
      <c r="L11" s="507"/>
      <c r="M11" s="507"/>
      <c r="N11" s="52"/>
      <c r="R11" s="19"/>
      <c r="S11" s="19"/>
    </row>
    <row r="12" ht="21" customHeight="1">
      <c r="B12" s="51"/>
      <c r="C12" s="503"/>
      <c r="D12" s="504"/>
      <c r="E12" s="504"/>
      <c r="G12" s="505">
        <f ca="1">DATEDIF(C12,TODAY(),"Y")</f>
      </c>
      <c r="H12" s="505"/>
      <c r="I12" s="505"/>
      <c r="K12" s="497"/>
      <c r="L12" s="497"/>
      <c r="M12" s="497"/>
      <c r="N12" s="52"/>
      <c r="R12" s="19"/>
      <c r="S12" s="19"/>
    </row>
    <row r="13" ht="21" customHeight="1">
      <c r="B13" s="51"/>
      <c r="C13" s="45"/>
      <c r="D13" s="46"/>
      <c r="E13" s="46"/>
      <c r="N13" s="52"/>
      <c r="R13" s="19"/>
      <c r="S13" s="19"/>
    </row>
    <row r="14" ht="21" customHeight="1">
      <c r="B14" s="51"/>
      <c r="C14" s="506" t="s">
        <v>125</v>
      </c>
      <c r="D14" s="506"/>
      <c r="E14" s="506"/>
      <c r="G14" s="506" t="s">
        <v>126</v>
      </c>
      <c r="H14" s="506"/>
      <c r="I14" s="506"/>
      <c r="K14" s="507" t="s">
        <v>127</v>
      </c>
      <c r="L14" s="507"/>
      <c r="M14" s="507"/>
      <c r="N14" s="52"/>
      <c r="R14" s="19"/>
      <c r="S14" s="19"/>
    </row>
    <row r="15" ht="21" customHeight="1">
      <c r="B15" s="51"/>
      <c r="C15" s="496"/>
      <c r="D15" s="496"/>
      <c r="E15" s="496"/>
      <c r="G15" s="497"/>
      <c r="H15" s="497"/>
      <c r="I15" s="497"/>
      <c r="K15" s="497"/>
      <c r="L15" s="497"/>
      <c r="M15" s="497"/>
      <c r="N15" s="52"/>
      <c r="R15" s="19"/>
      <c r="S15" s="19"/>
      <c r="AA15" s="100">
        <f>YEAR(#REF!)</f>
      </c>
    </row>
    <row r="16" ht="14.1" customHeight="1">
      <c r="B16" s="53"/>
      <c r="C16" s="7"/>
      <c r="D16" s="7"/>
      <c r="E16" s="7"/>
      <c r="F16" s="7"/>
      <c r="G16" s="7"/>
      <c r="H16" s="8"/>
      <c r="I16" s="7"/>
      <c r="J16" s="8"/>
      <c r="K16" s="7"/>
      <c r="L16" s="8"/>
      <c r="M16" s="7"/>
      <c r="N16" s="54"/>
      <c r="R16" s="19"/>
      <c r="S16" s="19"/>
    </row>
    <row r="18" ht="7.35" customHeight="1">
      <c r="B18" s="47"/>
      <c r="C18" s="5"/>
      <c r="D18" s="5"/>
      <c r="E18" s="5"/>
      <c r="F18" s="5"/>
      <c r="G18" s="5"/>
      <c r="H18" s="6"/>
      <c r="I18" s="5"/>
      <c r="J18" s="6"/>
      <c r="K18" s="5"/>
      <c r="L18" s="6"/>
      <c r="M18" s="5"/>
      <c r="N18" s="50"/>
    </row>
    <row r="19" ht="27.4" customHeight="1">
      <c r="B19" s="498" t="s">
        <v>128</v>
      </c>
      <c r="C19" s="499"/>
      <c r="D19" s="499"/>
      <c r="E19" s="499"/>
      <c r="F19" s="499"/>
      <c r="G19" s="499"/>
      <c r="H19" s="499"/>
      <c r="I19" s="499"/>
      <c r="J19" s="499"/>
      <c r="K19" s="499"/>
      <c r="L19" s="9"/>
      <c r="M19" s="10">
        <v>10</v>
      </c>
      <c r="N19" s="55"/>
      <c r="Q19" s="4">
        <f>M19</f>
      </c>
    </row>
    <row r="20" ht="6.6" customHeight="1">
      <c r="B20" s="53"/>
      <c r="C20" s="7"/>
      <c r="D20" s="7"/>
      <c r="E20" s="7"/>
      <c r="F20" s="7"/>
      <c r="G20" s="7"/>
      <c r="H20" s="8"/>
      <c r="I20" s="7"/>
      <c r="J20" s="8"/>
      <c r="K20" s="7"/>
      <c r="L20" s="8"/>
      <c r="M20" s="7"/>
      <c r="N20" s="54"/>
    </row>
    <row r="21">
      <c r="Q21" s="20">
        <f>IF(Q19&lt;3,6%,IF(Q19&lt;6,8%,IF(Q19&lt;10,10%,12%)))</f>
      </c>
    </row>
    <row r="22" ht="21" customHeight="1">
      <c r="B22" s="500" t="s">
        <v>129</v>
      </c>
      <c r="C22" s="500"/>
      <c r="D22" s="500"/>
      <c r="E22" s="500"/>
      <c r="F22" s="500"/>
      <c r="G22" s="500"/>
      <c r="H22" s="500"/>
      <c r="I22" s="500"/>
      <c r="J22" s="500"/>
      <c r="K22" s="500"/>
      <c r="L22" s="500"/>
      <c r="M22" s="500"/>
      <c r="N22" s="500"/>
      <c r="Q22" s="20"/>
    </row>
    <row r="23" ht="18.95" customHeight="1">
      <c r="B23" s="56" t="s">
        <v>130</v>
      </c>
      <c r="C23" s="43"/>
      <c r="D23" s="43"/>
      <c r="E23" s="43"/>
      <c r="F23" s="43"/>
      <c r="G23" s="43"/>
      <c r="H23" s="43"/>
      <c r="I23" s="43"/>
      <c r="J23" s="43"/>
      <c r="K23" s="43"/>
      <c r="L23" s="43"/>
      <c r="M23" s="43"/>
      <c r="Q23" s="20"/>
    </row>
    <row r="24" ht="9.4" customHeight="1">
      <c r="C24" s="43"/>
      <c r="D24" s="43"/>
      <c r="E24" s="43"/>
      <c r="F24" s="43"/>
      <c r="G24" s="43"/>
      <c r="H24" s="43"/>
      <c r="I24" s="43"/>
      <c r="J24" s="43"/>
      <c r="K24" s="43"/>
      <c r="L24" s="43"/>
      <c r="M24" s="43"/>
      <c r="Q24" s="20"/>
    </row>
    <row r="25" ht="24.4" customHeight="1">
      <c r="B25" s="47"/>
      <c r="C25" s="489" t="s">
        <v>131</v>
      </c>
      <c r="D25" s="5"/>
      <c r="E25" s="489" t="s">
        <v>132</v>
      </c>
      <c r="F25" s="6"/>
      <c r="G25" s="491" t="s">
        <v>133</v>
      </c>
      <c r="H25" s="6"/>
      <c r="I25" s="491" t="s">
        <v>134</v>
      </c>
      <c r="J25" s="6"/>
      <c r="K25" s="59" t="s">
        <v>135</v>
      </c>
      <c r="L25" s="11"/>
      <c r="M25" s="59" t="s">
        <v>136</v>
      </c>
      <c r="N25" s="50"/>
    </row>
    <row r="26" ht="32.1" customHeight="1">
      <c r="B26" s="51"/>
      <c r="C26" s="490"/>
      <c r="E26" s="490"/>
      <c r="F26" s="4"/>
      <c r="G26" s="492"/>
      <c r="I26" s="492"/>
      <c r="K26" s="61" t="s">
        <v>137</v>
      </c>
      <c r="L26" s="12"/>
      <c r="M26" s="61" t="s">
        <v>138</v>
      </c>
      <c r="N26" s="52"/>
    </row>
    <row r="27" ht="7.15" customHeight="1">
      <c r="B27" s="51"/>
      <c r="F27" s="4"/>
      <c r="G27" s="62"/>
      <c r="K27" s="501"/>
      <c r="L27" s="501"/>
      <c r="M27" s="501"/>
      <c r="N27" s="63">
        <f>(1+Q21)^(1/12)-1</f>
      </c>
      <c r="Q27" s="3"/>
    </row>
    <row r="28" ht="4.5" customHeight="1">
      <c r="B28" s="51"/>
      <c r="F28" s="4"/>
      <c r="K28" s="4"/>
      <c r="N28" s="52"/>
    </row>
    <row r="29" ht="21" customHeight="1">
      <c r="B29" s="51"/>
      <c r="C29" s="103" t="s">
        <v>139</v>
      </c>
      <c r="E29" s="104" t="s">
        <v>140</v>
      </c>
      <c r="F29" s="4"/>
      <c r="G29" s="105">
        <v>10000000</v>
      </c>
      <c r="I29" s="105">
        <v>50000</v>
      </c>
      <c r="K29" s="106">
        <f>PMT($N$27,$M$19*12,,-G29,1)</f>
      </c>
      <c r="L29" s="13"/>
      <c r="M29" s="106">
        <f>PV($Q$21,$M$19,,-G29,0)</f>
      </c>
      <c r="N29" s="52"/>
    </row>
    <row r="30">
      <c r="B30" s="51"/>
      <c r="C30" s="64"/>
      <c r="E30" s="65"/>
      <c r="F30" s="4"/>
      <c r="G30" s="65"/>
      <c r="I30" s="65"/>
      <c r="K30" s="14"/>
      <c r="L30" s="14"/>
      <c r="M30" s="14"/>
      <c r="N30" s="52"/>
    </row>
    <row r="31" ht="21" customHeight="1">
      <c r="B31" s="51"/>
      <c r="C31" s="107" t="s">
        <v>141</v>
      </c>
      <c r="E31" s="108" t="s">
        <v>142</v>
      </c>
      <c r="F31" s="4"/>
      <c r="G31" s="109">
        <v>20000000</v>
      </c>
      <c r="I31" s="109">
        <v>100000</v>
      </c>
      <c r="K31" s="109">
        <f>PMT($N$27,$M$19*12,,-G31,1)</f>
      </c>
      <c r="L31" s="15"/>
      <c r="M31" s="109">
        <f>PV($Q$21,$M$19,,-G31,0)</f>
      </c>
      <c r="N31" s="52"/>
    </row>
    <row r="32">
      <c r="B32" s="51"/>
      <c r="C32" s="64"/>
      <c r="E32" s="65"/>
      <c r="F32" s="4"/>
      <c r="G32" s="65"/>
      <c r="I32" s="65"/>
      <c r="K32" s="14"/>
      <c r="L32" s="14"/>
      <c r="M32" s="14"/>
      <c r="N32" s="52"/>
    </row>
    <row r="33" ht="21" customHeight="1">
      <c r="B33" s="51"/>
      <c r="C33" s="136" t="s">
        <v>143</v>
      </c>
      <c r="E33" s="137" t="s">
        <v>144</v>
      </c>
      <c r="F33" s="4"/>
      <c r="G33" s="138">
        <v>40000000</v>
      </c>
      <c r="I33" s="138">
        <v>200000</v>
      </c>
      <c r="K33" s="138">
        <f>PMT($N$27,$M$19*12,,-G33,1)</f>
      </c>
      <c r="L33" s="15"/>
      <c r="M33" s="138">
        <f>PV($Q$21,$M$19,,-G33,0)</f>
      </c>
      <c r="N33" s="52"/>
    </row>
    <row r="34">
      <c r="B34" s="51"/>
      <c r="C34" s="64"/>
      <c r="E34" s="65"/>
      <c r="F34" s="4"/>
      <c r="G34" s="65"/>
      <c r="I34" s="65"/>
      <c r="K34" s="14"/>
      <c r="L34" s="14"/>
      <c r="M34" s="14"/>
      <c r="N34" s="52"/>
    </row>
    <row r="35" ht="21" customHeight="1">
      <c r="B35" s="51"/>
      <c r="C35" s="141" t="s">
        <v>145</v>
      </c>
      <c r="E35" s="142" t="s">
        <v>146</v>
      </c>
      <c r="F35" s="4"/>
      <c r="G35" s="143">
        <v>80000000</v>
      </c>
      <c r="I35" s="143">
        <v>500000</v>
      </c>
      <c r="K35" s="143">
        <f>PMT($N$27,$M$19*12,,-G35,1)</f>
      </c>
      <c r="L35" s="15"/>
      <c r="M35" s="143">
        <f>PV($Q$21,$M$19,,-G35,0)</f>
      </c>
      <c r="N35" s="52"/>
    </row>
    <row r="36" ht="21" customHeight="1">
      <c r="B36" s="51"/>
      <c r="C36" s="101"/>
      <c r="D36" s="16"/>
      <c r="E36" s="102"/>
      <c r="F36" s="16"/>
      <c r="G36" s="75"/>
      <c r="H36" s="16"/>
      <c r="I36" s="75"/>
      <c r="J36" s="16"/>
      <c r="K36" s="75"/>
      <c r="L36" s="75"/>
      <c r="M36" s="75"/>
      <c r="N36" s="52"/>
    </row>
    <row r="37" ht="21" customHeight="1">
      <c r="B37" s="51"/>
      <c r="C37" s="110" t="s">
        <v>147</v>
      </c>
      <c r="E37" s="111" t="s">
        <v>148</v>
      </c>
      <c r="F37" s="4"/>
      <c r="G37" s="112">
        <v>150000000</v>
      </c>
      <c r="I37" s="112">
        <v>1000000</v>
      </c>
      <c r="K37" s="112">
        <f>PMT($N$27,$M$19*12,,-G37,1)</f>
      </c>
      <c r="L37" s="15"/>
      <c r="M37" s="112">
        <f>PV($Q$21,$M$19,,-G37,0)</f>
      </c>
      <c r="N37" s="52"/>
    </row>
    <row r="38" ht="21" customHeight="1">
      <c r="B38" s="51"/>
      <c r="C38" s="101"/>
      <c r="D38" s="16"/>
      <c r="E38" s="102"/>
      <c r="F38" s="16"/>
      <c r="G38" s="75"/>
      <c r="H38" s="16"/>
      <c r="I38" s="75"/>
      <c r="J38" s="16"/>
      <c r="K38" s="75"/>
      <c r="L38" s="75"/>
      <c r="M38" s="75"/>
      <c r="N38" s="52"/>
    </row>
    <row r="39" ht="21" customHeight="1">
      <c r="B39" s="51"/>
      <c r="C39" s="131" t="s">
        <v>149</v>
      </c>
      <c r="E39" s="132" t="s">
        <v>150</v>
      </c>
      <c r="F39" s="4"/>
      <c r="G39" s="133">
        <v>300000000</v>
      </c>
      <c r="I39" s="133">
        <v>2000000</v>
      </c>
      <c r="K39" s="133">
        <f>PMT($N$27,$M$19*12,,-G39,1)</f>
      </c>
      <c r="L39" s="15"/>
      <c r="M39" s="133">
        <f>PV($Q$21,$M$19,,-G39,0)</f>
      </c>
      <c r="N39" s="52"/>
    </row>
    <row r="40">
      <c r="B40" s="53"/>
      <c r="C40" s="7"/>
      <c r="D40" s="7"/>
      <c r="E40" s="7"/>
      <c r="F40" s="8"/>
      <c r="G40" s="7"/>
      <c r="H40" s="8"/>
      <c r="I40" s="7"/>
      <c r="J40" s="8"/>
      <c r="K40" s="8"/>
      <c r="L40" s="8"/>
      <c r="M40" s="7"/>
      <c r="N40" s="54"/>
    </row>
    <row r="42" ht="23.45">
      <c r="B42" s="500" t="s">
        <v>151</v>
      </c>
      <c r="C42" s="500"/>
      <c r="D42" s="500"/>
      <c r="E42" s="500"/>
      <c r="F42" s="500"/>
      <c r="G42" s="500"/>
      <c r="H42" s="500"/>
      <c r="I42" s="500"/>
      <c r="J42" s="500"/>
      <c r="K42" s="500"/>
      <c r="L42" s="500"/>
      <c r="M42" s="500"/>
      <c r="N42" s="500"/>
    </row>
    <row r="43" ht="18.399999999999999" customHeight="1">
      <c r="B43" s="56" t="s">
        <v>152</v>
      </c>
    </row>
    <row r="44" ht="6.2" customHeight="1"/>
    <row r="45" ht="32.1">
      <c r="B45" s="47"/>
      <c r="C45" s="57" t="s">
        <v>153</v>
      </c>
      <c r="D45" s="5"/>
      <c r="E45" s="57" t="s">
        <v>154</v>
      </c>
      <c r="F45" s="5"/>
      <c r="G45" s="58" t="s">
        <v>155</v>
      </c>
      <c r="H45" s="6"/>
      <c r="I45" s="58" t="s">
        <v>156</v>
      </c>
      <c r="J45" s="6"/>
      <c r="K45" s="58" t="s">
        <v>157</v>
      </c>
      <c r="L45" s="33" t="s">
        <v>158</v>
      </c>
      <c r="M45" s="58" t="s">
        <v>159</v>
      </c>
      <c r="N45" s="50"/>
    </row>
    <row r="46" ht="15.95">
      <c r="B46" s="51"/>
      <c r="K46" s="60"/>
      <c r="L46" s="34"/>
      <c r="N46" s="52"/>
    </row>
    <row r="47" ht="21" customHeight="1">
      <c r="B47" s="51"/>
      <c r="C47" s="66">
        <v>1</v>
      </c>
      <c r="E47" s="124" t="s">
        <v>160</v>
      </c>
      <c r="G47" s="91">
        <f>INDEX(#REF!,MATCH(#REF!,#REF!,0),MATCH('Ref File'!AA$15,#REF!,0))</f>
      </c>
      <c r="H47" s="92"/>
      <c r="I47" s="91">
        <f>INDEX(#REF!,MATCH(#REF!,#REF!,0),MATCH('Ref File'!AA$15,#REF!,0))</f>
      </c>
      <c r="J47" s="17">
        <f>(1+K47)^(1/12)-1</f>
      </c>
      <c r="K47" s="88">
        <v>0.08</v>
      </c>
      <c r="L47" s="37">
        <f>M47/$M$77</f>
      </c>
      <c r="M47" s="18">
        <f>P47+Q47</f>
      </c>
      <c r="N47" s="52"/>
      <c r="P47" s="68">
        <f>FV(K47,$M$19,,-G47,1)</f>
      </c>
      <c r="Q47" s="68">
        <f>FV(J47,$M$19*12,-I47,,1)</f>
      </c>
    </row>
    <row r="48" ht="12" customHeight="1">
      <c r="B48" s="51"/>
      <c r="G48" s="93"/>
      <c r="H48" s="94"/>
      <c r="I48" s="95"/>
      <c r="J48" s="19"/>
      <c r="K48" s="89"/>
      <c r="L48" s="20"/>
      <c r="M48" s="70"/>
      <c r="N48" s="52"/>
      <c r="P48" s="71"/>
      <c r="Q48" s="71"/>
    </row>
    <row r="49" ht="21" customHeight="1">
      <c r="B49" s="51"/>
      <c r="C49" s="66">
        <v>2</v>
      </c>
      <c r="E49" s="67" t="s">
        <v>65</v>
      </c>
      <c r="G49" s="91">
        <f>INDEX(#REF!,MATCH(#REF!,#REF!,0),MATCH('Ref File'!AA$15,#REF!,0))</f>
      </c>
      <c r="H49" s="92"/>
      <c r="I49" s="91">
        <f>INDEX(#REF!,MATCH(#REF!,#REF!,0),MATCH('Ref File'!AA$15,#REF!,0))</f>
      </c>
      <c r="J49" s="17">
        <f>(1+K49)^(1/12)-1</f>
      </c>
      <c r="K49" s="88">
        <v>7.0000000000000007E-2</v>
      </c>
      <c r="L49" s="37">
        <f>M49/$M$77</f>
      </c>
      <c r="M49" s="18">
        <f>P49+Q49</f>
      </c>
      <c r="N49" s="52"/>
      <c r="P49" s="68">
        <f>FV(K49,$M$19,,-G49,1)</f>
      </c>
      <c r="Q49" s="68">
        <f>FV(J49,$M$19*12,-I49,,1)</f>
      </c>
    </row>
    <row r="50" ht="12" customHeight="1">
      <c r="B50" s="51"/>
      <c r="G50" s="93"/>
      <c r="H50" s="94"/>
      <c r="I50" s="95"/>
      <c r="J50" s="19"/>
      <c r="K50" s="89"/>
      <c r="L50" s="20"/>
      <c r="M50" s="70"/>
      <c r="N50" s="52"/>
      <c r="P50" s="71"/>
      <c r="Q50" s="71"/>
    </row>
    <row r="51" ht="21" customHeight="1">
      <c r="B51" s="51"/>
      <c r="C51" s="66">
        <v>3</v>
      </c>
      <c r="E51" s="67" t="s">
        <v>68</v>
      </c>
      <c r="G51" s="91">
        <f>INDEX(#REF!,MATCH(#REF!,#REF!,0),MATCH('Ref File'!AA$15,#REF!,0))</f>
      </c>
      <c r="H51" s="92"/>
      <c r="I51" s="91">
        <f>INDEX(#REF!,MATCH(#REF!,#REF!,0),MATCH('Ref File'!AA$15,#REF!,0))</f>
      </c>
      <c r="J51" s="17">
        <f>(1+K51)^(1/12)-1</f>
      </c>
      <c r="K51" s="88">
        <v>0.06</v>
      </c>
      <c r="L51" s="37">
        <f>M51/$M$77</f>
      </c>
      <c r="M51" s="18">
        <f>P51+Q51</f>
      </c>
      <c r="N51" s="52"/>
      <c r="P51" s="68">
        <f>FV(K51,$M$19,,-G51,1)</f>
      </c>
      <c r="Q51" s="68">
        <f>FV(J51,$M$19*12,-I51,,1)</f>
      </c>
    </row>
    <row r="52" ht="12" customHeight="1">
      <c r="B52" s="51"/>
      <c r="G52" s="93"/>
      <c r="H52" s="94"/>
      <c r="I52" s="95"/>
      <c r="J52" s="19"/>
      <c r="K52" s="90"/>
      <c r="L52" s="20"/>
      <c r="M52" s="70"/>
      <c r="N52" s="52"/>
      <c r="P52" s="71"/>
      <c r="Q52" s="71"/>
    </row>
    <row r="53" ht="21" customHeight="1">
      <c r="B53" s="51"/>
      <c r="C53" s="66">
        <v>4</v>
      </c>
      <c r="E53" s="67" t="s">
        <v>161</v>
      </c>
      <c r="G53" s="91">
        <f>INDEX(#REF!,MATCH(#REF!,#REF!,0),MATCH('Ref File'!AA$15,#REF!,0))</f>
      </c>
      <c r="H53" s="92"/>
      <c r="I53" s="91">
        <f>INDEX(#REF!,MATCH(#REF!,#REF!,0),MATCH('Ref File'!AA$15,#REF!,0))</f>
      </c>
      <c r="J53" s="17">
        <f>(1+K53)^(1/12)-1</f>
      </c>
      <c r="K53" s="88">
        <v>0.06</v>
      </c>
      <c r="L53" s="37">
        <f>M53/$M$77</f>
      </c>
      <c r="M53" s="18">
        <f>P53+Q53</f>
      </c>
      <c r="N53" s="52"/>
      <c r="P53" s="68">
        <f>FV(K53,$M$19,,-G53,1)</f>
      </c>
      <c r="Q53" s="68">
        <f>FV(J53,$M$19*12,-I53,,1)</f>
      </c>
    </row>
    <row r="54" ht="12" customHeight="1">
      <c r="B54" s="51"/>
      <c r="G54" s="93"/>
      <c r="H54" s="94"/>
      <c r="I54" s="95"/>
      <c r="J54" s="19"/>
      <c r="K54" s="90"/>
      <c r="L54" s="20"/>
      <c r="M54" s="70"/>
      <c r="N54" s="52"/>
      <c r="P54" s="71"/>
      <c r="Q54" s="68"/>
    </row>
    <row r="55" ht="21" customHeight="1">
      <c r="B55" s="51"/>
      <c r="C55" s="66">
        <v>5</v>
      </c>
      <c r="E55" s="67" t="s">
        <v>162</v>
      </c>
      <c r="G55" s="91">
        <f>INDEX(#REF!,MATCH(#REF!,#REF!,0),MATCH('Ref File'!AA$15,#REF!,0))</f>
      </c>
      <c r="H55" s="92"/>
      <c r="I55" s="91">
        <f>INDEX(#REF!,MATCH(#REF!,#REF!,0),MATCH('Ref File'!AA$15,#REF!,0))</f>
      </c>
      <c r="J55" s="17">
        <f>(1+K55)^(1/12)-1</f>
      </c>
      <c r="K55" s="88">
        <v>0.1</v>
      </c>
      <c r="L55" s="37">
        <f>M55/$M$77</f>
      </c>
      <c r="M55" s="18">
        <f>P55+Q55</f>
      </c>
      <c r="N55" s="52"/>
      <c r="P55" s="68">
        <f>FV(K55,$M$19,,-G55,1)</f>
      </c>
      <c r="Q55" s="68">
        <f>FV(J55,$M$19*12,-I55,,1)</f>
      </c>
    </row>
    <row r="56" ht="12" customHeight="1">
      <c r="B56" s="51"/>
      <c r="G56" s="93"/>
      <c r="H56" s="94"/>
      <c r="I56" s="95"/>
      <c r="J56" s="19"/>
      <c r="K56" s="90"/>
      <c r="L56" s="20"/>
      <c r="M56" s="70"/>
      <c r="N56" s="52"/>
      <c r="P56" s="71"/>
      <c r="Q56" s="71"/>
    </row>
    <row r="57" ht="21" customHeight="1">
      <c r="B57" s="51"/>
      <c r="C57" s="66">
        <v>6</v>
      </c>
      <c r="E57" s="67" t="s">
        <v>163</v>
      </c>
      <c r="G57" s="91">
        <f>INDEX(#REF!,MATCH(#REF!,#REF!,0),MATCH('Ref File'!AA$15,#REF!,0))</f>
      </c>
      <c r="H57" s="92"/>
      <c r="I57" s="91">
        <f>INDEX(#REF!,MATCH(#REF!,#REF!,0),MATCH('Ref File'!AA$15,#REF!,0))</f>
      </c>
      <c r="J57" s="17">
        <f>(1+K57)^(1/12)-1</f>
      </c>
      <c r="K57" s="88">
        <v>0.12</v>
      </c>
      <c r="L57" s="37">
        <f>M57/$M$77</f>
      </c>
      <c r="M57" s="18">
        <f>P57+Q57</f>
      </c>
      <c r="N57" s="52"/>
      <c r="P57" s="68">
        <f>FV(K57,$M$19,,-G57,1)</f>
      </c>
      <c r="Q57" s="68">
        <f>FV(J57,$M$19*12,-I57,,1)</f>
      </c>
    </row>
    <row r="58" ht="12" customHeight="1">
      <c r="B58" s="51"/>
      <c r="G58" s="93"/>
      <c r="H58" s="94"/>
      <c r="I58" s="95"/>
      <c r="J58" s="19"/>
      <c r="K58" s="90"/>
      <c r="L58" s="20"/>
      <c r="M58" s="70"/>
      <c r="N58" s="52"/>
      <c r="P58" s="71"/>
      <c r="Q58" s="71"/>
    </row>
    <row r="59" ht="21" customHeight="1">
      <c r="B59" s="51"/>
      <c r="C59" s="66">
        <v>7</v>
      </c>
      <c r="E59" s="67" t="s">
        <v>164</v>
      </c>
      <c r="G59" s="91">
        <f>INDEX(#REF!,MATCH(#REF!,#REF!,0),MATCH('Ref File'!AA$15,#REF!,0))</f>
      </c>
      <c r="H59" s="92"/>
      <c r="I59" s="91">
        <f>INDEX(#REF!,MATCH(#REF!,#REF!,0),MATCH('Ref File'!AA$15,#REF!,0))</f>
      </c>
      <c r="J59" s="17">
        <f>(1+K59)^(1/12)-1</f>
      </c>
      <c r="K59" s="88">
        <v>0.09</v>
      </c>
      <c r="L59" s="37">
        <f>M59/$M$77</f>
      </c>
      <c r="M59" s="18">
        <f>P59+Q59</f>
      </c>
      <c r="N59" s="52"/>
      <c r="P59" s="68">
        <f>FV(K59,$M$19,,-G59,1)</f>
      </c>
      <c r="Q59" s="68">
        <f>FV(J59,$M$19*12,-I59,,1)</f>
      </c>
    </row>
    <row r="60" ht="12" customHeight="1">
      <c r="B60" s="51"/>
      <c r="G60" s="93"/>
      <c r="H60" s="94"/>
      <c r="I60" s="95"/>
      <c r="J60" s="19"/>
      <c r="K60" s="90"/>
      <c r="L60" s="20"/>
      <c r="M60" s="70"/>
      <c r="N60" s="52"/>
      <c r="P60" s="71"/>
      <c r="Q60" s="71"/>
    </row>
    <row r="61" ht="21" customHeight="1">
      <c r="B61" s="51"/>
      <c r="C61" s="66">
        <v>8</v>
      </c>
      <c r="E61" s="67" t="s">
        <v>165</v>
      </c>
      <c r="G61" s="91">
        <f>INDEX(#REF!,MATCH(#REF!,#REF!,0),MATCH('Ref File'!AA$15,#REF!,0))</f>
      </c>
      <c r="H61" s="92"/>
      <c r="I61" s="91">
        <f>INDEX(#REF!,MATCH(#REF!,#REF!,0),MATCH('Ref File'!AA$15,#REF!,0))</f>
      </c>
      <c r="J61" s="17">
        <f>(1+K61)^(1/12)-1</f>
      </c>
      <c r="K61" s="88">
        <v>0.1</v>
      </c>
      <c r="L61" s="37">
        <f>M61/$M$77</f>
      </c>
      <c r="M61" s="18">
        <f>P61+Q61</f>
      </c>
      <c r="N61" s="52"/>
      <c r="P61" s="68">
        <f>FV(K61,$M$19,,-G61,1)</f>
      </c>
      <c r="Q61" s="68">
        <f>FV(J61,$M$19*12,-I61,,1)</f>
      </c>
    </row>
    <row r="62" ht="12" customHeight="1">
      <c r="B62" s="51"/>
      <c r="G62" s="93"/>
      <c r="H62" s="94"/>
      <c r="I62" s="95"/>
      <c r="J62" s="19"/>
      <c r="K62" s="90"/>
      <c r="L62" s="20"/>
      <c r="M62" s="70"/>
      <c r="N62" s="52"/>
      <c r="P62" s="68"/>
      <c r="Q62" s="71"/>
    </row>
    <row r="63" ht="21" customHeight="1">
      <c r="B63" s="51"/>
      <c r="C63" s="66">
        <v>9</v>
      </c>
      <c r="E63" s="72" t="s">
        <v>77</v>
      </c>
      <c r="G63" s="91">
        <f>INDEX(#REF!,MATCH(#REF!,#REF!,0),MATCH('Ref File'!AA$15,#REF!,0))</f>
      </c>
      <c r="H63" s="92"/>
      <c r="I63" s="91">
        <f>INDEX(#REF!,MATCH(#REF!,#REF!,0),MATCH('Ref File'!AA$15,#REF!,0))</f>
      </c>
      <c r="J63" s="17">
        <f>(1+K63)^(1/12)-1</f>
      </c>
      <c r="K63" s="88">
        <v>0.1</v>
      </c>
      <c r="L63" s="37">
        <f>M63/$M$77</f>
      </c>
      <c r="M63" s="18">
        <f>P63+Q63</f>
      </c>
      <c r="N63" s="52"/>
      <c r="P63" s="68">
        <f>FV(K63,$M$19,,-G63,1)</f>
      </c>
      <c r="Q63" s="68">
        <f>FV(J63,$M$19*12,-I63,,1)</f>
      </c>
    </row>
    <row r="64" ht="12" customHeight="1">
      <c r="B64" s="51"/>
      <c r="G64" s="93"/>
      <c r="H64" s="94"/>
      <c r="I64" s="95"/>
      <c r="J64" s="19"/>
      <c r="K64" s="90"/>
      <c r="L64" s="20"/>
      <c r="M64" s="70"/>
      <c r="N64" s="52"/>
      <c r="P64" s="71"/>
      <c r="Q64" s="71"/>
    </row>
    <row r="65" ht="21" customHeight="1">
      <c r="B65" s="51"/>
      <c r="C65" s="66">
        <v>10</v>
      </c>
      <c r="E65" s="67" t="s">
        <v>166</v>
      </c>
      <c r="G65" s="91">
        <f>INDEX(#REF!,MATCH(#REF!,#REF!,0),MATCH('Ref File'!AA$15,#REF!,0))</f>
      </c>
      <c r="H65" s="92"/>
      <c r="I65" s="91">
        <f>INDEX(#REF!,MATCH(#REF!,#REF!,0),MATCH('Ref File'!AA$15,#REF!,0))</f>
      </c>
      <c r="J65" s="17">
        <f>(1+K65)^(1/12)-1</f>
      </c>
      <c r="K65" s="88">
        <v>0.14000000000000001</v>
      </c>
      <c r="L65" s="37">
        <f>M65/$M$77</f>
      </c>
      <c r="M65" s="18">
        <f>P65+Q65</f>
      </c>
      <c r="N65" s="52"/>
      <c r="P65" s="68">
        <f>FV(K65,$M$19,,-G65,1)</f>
      </c>
      <c r="Q65" s="68">
        <f>FV(J65,$M$19*12,-I65,,1)</f>
      </c>
    </row>
    <row r="66" ht="12" customHeight="1">
      <c r="B66" s="51"/>
      <c r="E66" s="69"/>
      <c r="G66" s="93"/>
      <c r="H66" s="94"/>
      <c r="I66" s="95"/>
      <c r="J66" s="19"/>
      <c r="K66" s="90"/>
      <c r="L66" s="20"/>
      <c r="M66" s="70"/>
      <c r="N66" s="52"/>
      <c r="P66" s="71"/>
      <c r="Q66" s="71"/>
    </row>
    <row r="67" ht="21" customHeight="1">
      <c r="B67" s="51"/>
      <c r="C67" s="66">
        <v>11</v>
      </c>
      <c r="E67" s="67" t="s">
        <v>80</v>
      </c>
      <c r="G67" s="91">
        <f>INDEX(#REF!,MATCH(#REF!,#REF!,0),MATCH('Ref File'!AA$15,#REF!,0))</f>
      </c>
      <c r="H67" s="92"/>
      <c r="I67" s="130"/>
      <c r="J67" s="17">
        <f>(1+K67)^(1/12)-1</f>
      </c>
      <c r="K67" s="88">
        <v>0.06</v>
      </c>
      <c r="L67" s="37">
        <f>M67/$M$77</f>
      </c>
      <c r="M67" s="18">
        <f>P67+Q67</f>
      </c>
      <c r="N67" s="52"/>
      <c r="P67" s="68">
        <f>FV(K67,$M$19,,-G67,1)</f>
      </c>
      <c r="Q67" s="68">
        <f>FV(J67,$M$19*12,-I67,,1)</f>
      </c>
    </row>
    <row r="68" ht="12" customHeight="1">
      <c r="B68" s="51"/>
      <c r="E68" s="73"/>
      <c r="G68" s="96"/>
      <c r="H68" s="97"/>
      <c r="I68" s="98"/>
      <c r="J68" s="19"/>
      <c r="K68" s="90"/>
      <c r="L68" s="20"/>
      <c r="M68" s="74"/>
      <c r="N68" s="52"/>
    </row>
    <row r="69" ht="21" customHeight="1">
      <c r="B69" s="51"/>
      <c r="C69" s="66">
        <v>12</v>
      </c>
      <c r="E69" s="67" t="s">
        <v>82</v>
      </c>
      <c r="G69" s="91">
        <f>INDEX(#REF!,MATCH(#REF!,#REF!,0),MATCH('Ref File'!AA$15,#REF!,0))</f>
      </c>
      <c r="H69" s="92"/>
      <c r="I69" s="91">
        <f>INDEX(#REF!,MATCH(#REF!,#REF!,0),MATCH('Ref File'!AA$15,#REF!,0))</f>
      </c>
      <c r="J69" s="17">
        <f>(1+K69)^(1/12)-1</f>
      </c>
      <c r="K69" s="88">
        <v>0.08</v>
      </c>
      <c r="L69" s="37">
        <f>M69/$M$77</f>
      </c>
      <c r="M69" s="18">
        <f>P69+Q69</f>
      </c>
      <c r="N69" s="52"/>
      <c r="P69" s="68">
        <f>FV(K69,$M$19,,-G69,1)</f>
      </c>
      <c r="Q69" s="68">
        <f>FV(J69,$M$19*12,-I69,,1)</f>
      </c>
    </row>
    <row r="70" ht="12" customHeight="1">
      <c r="B70" s="51"/>
      <c r="E70" s="73"/>
      <c r="G70" s="96"/>
      <c r="H70" s="97"/>
      <c r="I70" s="98"/>
      <c r="J70" s="19"/>
      <c r="K70" s="90"/>
      <c r="L70" s="20"/>
      <c r="M70" s="74"/>
      <c r="N70" s="52"/>
    </row>
    <row r="71" ht="22.15" customHeight="1">
      <c r="B71" s="51"/>
      <c r="C71" s="66">
        <v>13</v>
      </c>
      <c r="E71" s="67" t="s">
        <v>85</v>
      </c>
      <c r="G71" s="91">
        <f>INDEX(#REF!,MATCH(#REF!,#REF!,0),MATCH('Ref File'!AA$15,#REF!,0))</f>
      </c>
      <c r="H71" s="92"/>
      <c r="I71" s="91">
        <f>INDEX(#REF!,MATCH(#REF!,#REF!,0),MATCH('Ref File'!AA$15,#REF!,0))</f>
      </c>
      <c r="J71" s="17">
        <f>(1+K71)^(1/12)-1</f>
      </c>
      <c r="K71" s="88">
        <v>0.05</v>
      </c>
      <c r="L71" s="37">
        <f>M71/$M$77</f>
      </c>
      <c r="M71" s="18">
        <f>P71+Q71</f>
      </c>
      <c r="N71" s="52"/>
      <c r="P71" s="68">
        <f>FV(K71,$M$19,,-G71,1)</f>
      </c>
      <c r="Q71" s="68">
        <f>FV(J71,$M$19*12,-I71,,1)</f>
      </c>
    </row>
    <row r="72" ht="12" customHeight="1">
      <c r="B72" s="51"/>
      <c r="E72" s="73"/>
      <c r="G72" s="96"/>
      <c r="H72" s="97"/>
      <c r="I72" s="98"/>
      <c r="J72" s="19"/>
      <c r="K72" s="90"/>
      <c r="L72" s="20"/>
      <c r="M72" s="74"/>
      <c r="N72" s="52"/>
    </row>
    <row r="73" ht="24.4" customHeight="1">
      <c r="B73" s="51"/>
      <c r="C73" s="66">
        <v>14</v>
      </c>
      <c r="E73" s="67" t="s">
        <v>167</v>
      </c>
      <c r="G73" s="91">
        <f>INDEX(#REF!,MATCH(#REF!,#REF!,0),MATCH('Ref File'!AA$15,#REF!,0))</f>
      </c>
      <c r="H73" s="92"/>
      <c r="I73" s="91">
        <f>INDEX(#REF!,MATCH(#REF!,#REF!,0),MATCH('Ref File'!AA$15,#REF!,0))</f>
      </c>
      <c r="J73" s="17">
        <f>(1+K73)^(1/12)-1</f>
      </c>
      <c r="K73" s="88">
        <v>0.08</v>
      </c>
      <c r="L73" s="37">
        <f>M73/$M$77</f>
      </c>
      <c r="M73" s="18">
        <f>P73+Q73</f>
      </c>
      <c r="N73" s="52"/>
      <c r="P73" s="68">
        <f>FV(K73,$M$19,,-G73,1)</f>
      </c>
      <c r="Q73" s="68">
        <f>FV(J73,$M$19*12,-I73,,1)</f>
      </c>
    </row>
    <row r="74" ht="12.2" customHeight="1">
      <c r="B74" s="51"/>
      <c r="C74" s="76"/>
      <c r="E74" s="73"/>
      <c r="G74" s="96"/>
      <c r="H74" s="92"/>
      <c r="I74" s="96"/>
      <c r="J74" s="17"/>
      <c r="K74" s="128"/>
      <c r="L74" s="35"/>
      <c r="M74" s="129"/>
      <c r="N74" s="52"/>
      <c r="P74" s="68"/>
      <c r="Q74" s="68"/>
    </row>
    <row r="75" ht="21.6" customHeight="1">
      <c r="B75" s="51"/>
      <c r="C75" s="66">
        <v>15</v>
      </c>
      <c r="E75" s="67" t="s">
        <v>168</v>
      </c>
      <c r="G75" s="99"/>
      <c r="H75" s="92"/>
      <c r="I75" s="99"/>
      <c r="J75" s="17">
        <f>(1+K75)^(1/12)-1</f>
      </c>
      <c r="K75" s="88">
        <v>0.12</v>
      </c>
      <c r="L75" s="37">
        <f>M75/$M$77</f>
      </c>
      <c r="M75" s="18">
        <f>P75+Q75</f>
      </c>
      <c r="N75" s="52"/>
      <c r="P75" s="68">
        <f>FV(K75,$M$19,,-G75,1)</f>
      </c>
      <c r="Q75" s="68">
        <f>FV(J75,$M$19*12,-I75,,1)</f>
      </c>
    </row>
    <row r="76" ht="12" customHeight="1">
      <c r="B76" s="51"/>
      <c r="E76" s="76"/>
      <c r="G76" s="74"/>
      <c r="H76" s="22"/>
      <c r="I76" s="75"/>
      <c r="J76" s="19"/>
      <c r="K76" s="90"/>
      <c r="L76" s="36"/>
      <c r="M76" s="74"/>
      <c r="N76" s="52"/>
    </row>
    <row r="77" ht="20.45" customHeight="1">
      <c r="B77" s="51"/>
      <c r="E77" s="77" t="s">
        <v>169</v>
      </c>
      <c r="G77" s="24">
        <f>SUM(G47:G69)</f>
      </c>
      <c r="H77" s="21"/>
      <c r="I77" s="78">
        <f>SUM(I47:I69)</f>
      </c>
      <c r="J77" s="23"/>
      <c r="K77" s="79">
        <f>(K47*L47)+(K49*L49)+(K51*L51)+(K53*L53)+(K55*L55)+(K57*L57)+(K61*L61)+(K63*L63)+(K65*L65)+(K67*L67)+(K69*L69)+(K71*L71)+(K75*L75)+(K73*L73)</f>
      </c>
      <c r="L77" s="35"/>
      <c r="M77" s="24">
        <f>SUM(M47:M73)</f>
      </c>
      <c r="N77" s="52"/>
    </row>
    <row r="78" ht="7.7" customHeight="1">
      <c r="B78" s="51"/>
      <c r="E78" s="76"/>
      <c r="G78" s="74"/>
      <c r="H78" s="22"/>
      <c r="I78" s="75"/>
      <c r="K78" s="16"/>
      <c r="M78" s="74"/>
      <c r="N78" s="52"/>
    </row>
    <row r="79" ht="4.7" customHeight="1">
      <c r="B79" s="53"/>
      <c r="C79" s="7"/>
      <c r="D79" s="7"/>
      <c r="E79" s="7"/>
      <c r="F79" s="7"/>
      <c r="G79" s="7"/>
      <c r="H79" s="8"/>
      <c r="I79" s="7"/>
      <c r="J79" s="8"/>
      <c r="K79" s="7"/>
      <c r="L79" s="8"/>
      <c r="M79" s="7"/>
      <c r="N79" s="54"/>
    </row>
    <row r="81" ht="23.45">
      <c r="B81" s="500" t="s">
        <v>170</v>
      </c>
      <c r="C81" s="500"/>
      <c r="D81" s="500"/>
      <c r="E81" s="500"/>
      <c r="F81" s="500"/>
      <c r="G81" s="500"/>
      <c r="H81" s="500"/>
      <c r="I81" s="500"/>
      <c r="J81" s="500"/>
      <c r="K81" s="500"/>
      <c r="L81" s="500"/>
      <c r="M81" s="500"/>
      <c r="N81" s="500"/>
      <c r="R81" s="19"/>
      <c r="S81" s="19"/>
    </row>
    <row r="82" ht="17.25" customHeight="1">
      <c r="B82" s="56" t="s">
        <v>171</v>
      </c>
      <c r="R82" s="19"/>
      <c r="S82" s="19"/>
    </row>
    <row r="83" ht="4.1500000000000004" customHeight="1">
      <c r="R83" s="19"/>
      <c r="S83" s="19"/>
    </row>
    <row r="84" ht="36.950000000000003">
      <c r="B84" s="47"/>
      <c r="C84" s="57" t="s">
        <v>131</v>
      </c>
      <c r="D84" s="5"/>
      <c r="E84" s="57" t="s">
        <v>132</v>
      </c>
      <c r="F84" s="5"/>
      <c r="G84" s="58" t="s">
        <v>133</v>
      </c>
      <c r="H84" s="6"/>
      <c r="I84" s="80" t="s">
        <v>172</v>
      </c>
      <c r="J84" s="6"/>
      <c r="K84" s="491" t="s">
        <v>173</v>
      </c>
      <c r="L84" s="491"/>
      <c r="M84" s="491"/>
      <c r="N84" s="50"/>
      <c r="R84" s="19"/>
      <c r="S84" s="19"/>
    </row>
    <row r="85" ht="6.6" customHeight="1">
      <c r="B85" s="51"/>
      <c r="G85" s="81"/>
      <c r="M85" s="81"/>
      <c r="N85" s="63">
        <f>(1+12%)^(1/12)-1</f>
      </c>
      <c r="R85" s="19"/>
      <c r="S85" s="19"/>
    </row>
    <row r="86" ht="21" customHeight="1">
      <c r="B86" s="51"/>
      <c r="C86" s="103" t="s">
        <v>139</v>
      </c>
      <c r="E86" s="104" t="s">
        <v>140</v>
      </c>
      <c r="F86" s="4"/>
      <c r="G86" s="105">
        <v>10000000</v>
      </c>
      <c r="I86" s="105">
        <f>M77</f>
      </c>
      <c r="K86" s="502">
        <f>IF(G86&lt;I86,"Congratulations! You can Proceed to Next Level",G86-I86)</f>
      </c>
      <c r="L86" s="502"/>
      <c r="M86" s="502"/>
      <c r="N86" s="52"/>
      <c r="S86" s="19"/>
      <c r="BD86" s="20">
        <v>1</v>
      </c>
      <c r="BE86" s="20">
        <f>IF(I86/G86&gt;100%,100%,I86/G86)</f>
      </c>
    </row>
    <row r="87" ht="9.9499999999999993" customHeight="1">
      <c r="B87" s="51"/>
      <c r="C87" s="64"/>
      <c r="E87" s="65"/>
      <c r="F87" s="4"/>
      <c r="G87" s="65"/>
      <c r="I87" s="65"/>
      <c r="K87" s="14"/>
      <c r="L87" s="14"/>
      <c r="M87" s="70"/>
      <c r="N87" s="52"/>
      <c r="S87" s="19"/>
      <c r="BD87" s="20"/>
      <c r="BE87" s="20"/>
    </row>
    <row r="88" ht="21" customHeight="1">
      <c r="B88" s="51"/>
      <c r="C88" s="107" t="s">
        <v>141</v>
      </c>
      <c r="E88" s="108" t="s">
        <v>142</v>
      </c>
      <c r="F88" s="4"/>
      <c r="G88" s="109">
        <v>20000000</v>
      </c>
      <c r="I88" s="109">
        <f>M77</f>
      </c>
      <c r="K88" s="495">
        <f>IF(G88&lt;I88,"Congratulations! You can Proceed to Next Level",G88-I88)</f>
      </c>
      <c r="L88" s="495"/>
      <c r="M88" s="495"/>
      <c r="N88" s="52"/>
      <c r="S88" s="19"/>
      <c r="BD88" s="20">
        <v>1</v>
      </c>
      <c r="BE88" s="20">
        <f>IF(I88/G88&gt;100%,100%,I88/G88)</f>
      </c>
    </row>
    <row r="89" ht="9.9499999999999993" customHeight="1">
      <c r="B89" s="51"/>
      <c r="C89" s="64"/>
      <c r="E89" s="65"/>
      <c r="F89" s="4"/>
      <c r="G89" s="65"/>
      <c r="I89" s="65"/>
      <c r="K89" s="14"/>
      <c r="L89" s="14"/>
      <c r="M89" s="70"/>
      <c r="N89" s="52"/>
      <c r="S89" s="19"/>
      <c r="BD89" s="20"/>
      <c r="BE89" s="20"/>
    </row>
    <row r="90" ht="21" customHeight="1">
      <c r="B90" s="51"/>
      <c r="C90" s="136" t="s">
        <v>143</v>
      </c>
      <c r="E90" s="137" t="s">
        <v>144</v>
      </c>
      <c r="F90" s="4"/>
      <c r="G90" s="138">
        <v>40000000</v>
      </c>
      <c r="I90" s="138">
        <f>M77</f>
      </c>
      <c r="K90" s="486">
        <f>IF(G90&lt;I90,"Congratulations! You can Proceed to Next Level",G90-I90)</f>
      </c>
      <c r="L90" s="486"/>
      <c r="M90" s="486"/>
      <c r="N90" s="52"/>
      <c r="S90" s="19"/>
      <c r="BD90" s="20">
        <v>1</v>
      </c>
      <c r="BE90" s="20">
        <f>IF(I90/G90&gt;100%,100%,I90/G90)</f>
      </c>
    </row>
    <row r="91" ht="9.9499999999999993" customHeight="1">
      <c r="B91" s="51"/>
      <c r="C91" s="64"/>
      <c r="E91" s="65"/>
      <c r="F91" s="4"/>
      <c r="G91" s="65"/>
      <c r="I91" s="65"/>
      <c r="K91" s="14"/>
      <c r="L91" s="14"/>
      <c r="M91" s="70"/>
      <c r="N91" s="52"/>
      <c r="S91" s="19"/>
      <c r="BD91" s="20"/>
      <c r="BE91" s="20"/>
    </row>
    <row r="92" ht="21" customHeight="1">
      <c r="B92" s="51"/>
      <c r="C92" s="141" t="s">
        <v>145</v>
      </c>
      <c r="E92" s="142" t="s">
        <v>146</v>
      </c>
      <c r="F92" s="4"/>
      <c r="G92" s="143">
        <v>80000000</v>
      </c>
      <c r="I92" s="143">
        <f>M77</f>
      </c>
      <c r="K92" s="487">
        <f>IF(G92&lt;I92,"Congratulations! You can Proceed to Next Level",G92-I92)</f>
      </c>
      <c r="L92" s="487"/>
      <c r="M92" s="487"/>
      <c r="N92" s="52"/>
      <c r="S92" s="19"/>
      <c r="BD92" s="20">
        <v>1</v>
      </c>
      <c r="BE92" s="20">
        <f>IF(I92/G92&gt;100%,100%,I92/G92)</f>
      </c>
    </row>
    <row r="93" ht="9.9499999999999993" customHeight="1">
      <c r="B93" s="51"/>
      <c r="C93" s="101"/>
      <c r="D93" s="16"/>
      <c r="E93" s="102"/>
      <c r="F93" s="16"/>
      <c r="G93" s="75"/>
      <c r="I93" s="74"/>
      <c r="K93" s="113"/>
      <c r="L93" s="113"/>
      <c r="M93" s="113"/>
      <c r="N93" s="52"/>
      <c r="S93" s="19"/>
      <c r="BD93" s="20"/>
      <c r="BE93" s="20"/>
    </row>
    <row r="94" ht="21" customHeight="1">
      <c r="B94" s="51"/>
      <c r="C94" s="110" t="s">
        <v>147</v>
      </c>
      <c r="E94" s="111" t="s">
        <v>148</v>
      </c>
      <c r="F94" s="4"/>
      <c r="G94" s="112">
        <v>150000000</v>
      </c>
      <c r="I94" s="112">
        <f>M77</f>
      </c>
      <c r="K94" s="493">
        <f>IF(G94&lt;I94,"Congratulations! You can Proceed to Next Level",G94-I94)</f>
      </c>
      <c r="L94" s="493"/>
      <c r="M94" s="493"/>
      <c r="N94" s="52"/>
      <c r="S94" s="19"/>
      <c r="BD94" s="20">
        <v>1</v>
      </c>
      <c r="BE94" s="20">
        <f>IF(I94/G94&gt;100%,100%,I94/G94)</f>
      </c>
    </row>
    <row r="95" ht="9.9499999999999993" customHeight="1">
      <c r="B95" s="51"/>
      <c r="C95" s="101"/>
      <c r="D95" s="16"/>
      <c r="E95" s="102"/>
      <c r="F95" s="16"/>
      <c r="G95" s="75"/>
      <c r="I95" s="74"/>
      <c r="K95" s="113"/>
      <c r="L95" s="113"/>
      <c r="M95" s="113"/>
      <c r="N95" s="52"/>
      <c r="S95" s="19"/>
      <c r="BD95" s="20"/>
      <c r="BE95" s="20"/>
    </row>
    <row r="96" ht="21" customHeight="1">
      <c r="B96" s="51"/>
      <c r="C96" s="131" t="s">
        <v>149</v>
      </c>
      <c r="E96" s="132" t="s">
        <v>150</v>
      </c>
      <c r="F96" s="4"/>
      <c r="G96" s="133">
        <v>300000000</v>
      </c>
      <c r="I96" s="133">
        <f>M77</f>
      </c>
      <c r="K96" s="494">
        <f>IF(G96&lt;I96,"Congratulations! You can Proceed to Next Level",G96-I96)</f>
      </c>
      <c r="L96" s="494"/>
      <c r="M96" s="494"/>
      <c r="N96" s="52"/>
      <c r="S96" s="19"/>
      <c r="BD96" s="20">
        <v>1</v>
      </c>
      <c r="BE96" s="20">
        <f>IF(I96/G96&gt;100%,100%,I96/G96)</f>
      </c>
    </row>
    <row r="97" ht="9.9499999999999993" customHeight="1">
      <c r="B97" s="53"/>
      <c r="C97" s="7"/>
      <c r="D97" s="7"/>
      <c r="E97" s="7"/>
      <c r="F97" s="7"/>
      <c r="G97" s="7"/>
      <c r="H97" s="8"/>
      <c r="I97" s="7"/>
      <c r="J97" s="8"/>
      <c r="K97" s="7"/>
      <c r="L97" s="8"/>
      <c r="M97" s="7"/>
      <c r="N97" s="54"/>
    </row>
    <row r="99">
      <c r="B99" s="47"/>
      <c r="C99" s="5"/>
      <c r="D99" s="5"/>
      <c r="E99" s="5"/>
      <c r="F99" s="5"/>
      <c r="G99" s="5"/>
      <c r="H99" s="6"/>
      <c r="I99" s="5"/>
      <c r="J99" s="6"/>
      <c r="K99" s="5"/>
      <c r="L99" s="6"/>
      <c r="M99" s="5"/>
      <c r="N99" s="50"/>
    </row>
    <row r="100">
      <c r="B100" s="51"/>
      <c r="N100" s="52"/>
    </row>
    <row r="101">
      <c r="B101" s="51"/>
      <c r="N101" s="52"/>
    </row>
    <row r="102">
      <c r="B102" s="51"/>
      <c r="N102" s="52"/>
    </row>
    <row r="103">
      <c r="B103" s="51"/>
      <c r="N103" s="52"/>
    </row>
    <row r="104">
      <c r="B104" s="51"/>
      <c r="N104" s="52"/>
    </row>
    <row r="105">
      <c r="B105" s="51"/>
      <c r="N105" s="52"/>
    </row>
    <row r="106">
      <c r="B106" s="51"/>
      <c r="N106" s="52"/>
    </row>
    <row r="107">
      <c r="B107" s="51"/>
      <c r="N107" s="52"/>
    </row>
    <row r="108">
      <c r="B108" s="51"/>
      <c r="N108" s="52"/>
    </row>
    <row r="109">
      <c r="B109" s="51"/>
      <c r="N109" s="52"/>
    </row>
    <row r="110">
      <c r="B110" s="51"/>
      <c r="N110" s="52"/>
    </row>
    <row r="111">
      <c r="B111" s="51"/>
      <c r="N111" s="52"/>
    </row>
    <row r="112">
      <c r="B112" s="51"/>
      <c r="N112" s="52"/>
    </row>
    <row r="113">
      <c r="B113" s="51"/>
      <c r="N113" s="52"/>
    </row>
    <row r="114">
      <c r="B114" s="51"/>
      <c r="N114" s="52"/>
    </row>
    <row r="115">
      <c r="B115" s="51"/>
      <c r="N115" s="52"/>
    </row>
    <row r="116">
      <c r="B116" s="51"/>
      <c r="N116" s="52"/>
    </row>
    <row r="117">
      <c r="B117" s="51"/>
      <c r="N117" s="52"/>
    </row>
    <row r="118">
      <c r="B118" s="51"/>
      <c r="N118" s="52"/>
    </row>
    <row r="119" ht="10.5" customHeight="1">
      <c r="B119" s="53"/>
      <c r="C119" s="7"/>
      <c r="D119" s="7"/>
      <c r="E119" s="7"/>
      <c r="F119" s="7"/>
      <c r="G119" s="7"/>
      <c r="H119" s="8"/>
      <c r="I119" s="7"/>
      <c r="J119" s="8"/>
      <c r="K119" s="7"/>
      <c r="L119" s="8"/>
      <c r="M119" s="7"/>
      <c r="N119" s="54"/>
    </row>
    <row r="121" ht="23.45">
      <c r="B121" s="488" t="s">
        <v>174</v>
      </c>
      <c r="C121" s="488"/>
      <c r="D121" s="488"/>
      <c r="E121" s="488"/>
      <c r="F121" s="488"/>
      <c r="G121" s="488"/>
      <c r="H121" s="488"/>
      <c r="I121" s="488"/>
      <c r="J121" s="488"/>
      <c r="K121" s="488"/>
      <c r="L121" s="488"/>
      <c r="M121" s="488"/>
      <c r="N121" s="488"/>
    </row>
    <row r="122" ht="15.95">
      <c r="B122" s="56" t="s">
        <v>175</v>
      </c>
    </row>
    <row r="123" ht="4.7" customHeight="1"/>
    <row r="124" ht="22.7" customHeight="1">
      <c r="B124" s="47"/>
      <c r="C124" s="489" t="s">
        <v>131</v>
      </c>
      <c r="D124" s="5"/>
      <c r="E124" s="489" t="s">
        <v>132</v>
      </c>
      <c r="F124" s="5"/>
      <c r="G124" s="491" t="s">
        <v>133</v>
      </c>
      <c r="H124" s="6"/>
      <c r="I124" s="491" t="s">
        <v>173</v>
      </c>
      <c r="J124" s="6"/>
      <c r="K124" s="59" t="s">
        <v>135</v>
      </c>
      <c r="L124" s="11"/>
      <c r="M124" s="59" t="s">
        <v>136</v>
      </c>
      <c r="N124" s="50"/>
    </row>
    <row r="125" ht="32.1">
      <c r="B125" s="51"/>
      <c r="C125" s="490"/>
      <c r="E125" s="490"/>
      <c r="G125" s="492"/>
      <c r="I125" s="492"/>
      <c r="K125" s="61" t="s">
        <v>137</v>
      </c>
      <c r="L125" s="12"/>
      <c r="M125" s="61" t="s">
        <v>138</v>
      </c>
      <c r="N125" s="52"/>
    </row>
    <row r="126">
      <c r="B126" s="51"/>
      <c r="G126" s="81"/>
      <c r="M126" s="81"/>
      <c r="N126" s="63">
        <f>(1+12%)^(1/12)-1</f>
      </c>
    </row>
    <row r="127" ht="21" customHeight="1">
      <c r="B127" s="51"/>
      <c r="C127" s="103" t="s">
        <v>139</v>
      </c>
      <c r="E127" s="104" t="s">
        <v>140</v>
      </c>
      <c r="F127" s="4"/>
      <c r="G127" s="105">
        <v>10000000</v>
      </c>
      <c r="I127" s="116">
        <f>G86-I86</f>
      </c>
      <c r="J127" s="17">
        <f>(1+12%)^(1/12)-1</f>
      </c>
      <c r="K127" s="117">
        <f>IF(I86&gt;G86,"NIL",P127)</f>
      </c>
      <c r="L127" s="14"/>
      <c r="M127" s="117">
        <f>IF(I86&gt;G86,"NIL",Q127)</f>
      </c>
      <c r="N127" s="52"/>
      <c r="P127" s="82">
        <f>PMT($J$127,$M$19*12,,-I127,1)</f>
      </c>
      <c r="Q127" s="25">
        <f>PV($Q$21,$M$19,,-I127,0)</f>
      </c>
    </row>
    <row r="128">
      <c r="B128" s="51"/>
      <c r="C128" s="64"/>
      <c r="E128" s="65"/>
      <c r="F128" s="4"/>
      <c r="G128" s="65"/>
      <c r="I128" s="83"/>
      <c r="K128" s="14"/>
      <c r="L128" s="14"/>
      <c r="M128" s="84"/>
      <c r="N128" s="52"/>
      <c r="P128" s="85"/>
      <c r="Q128" s="86"/>
    </row>
    <row r="129" ht="21" customHeight="1">
      <c r="B129" s="51"/>
      <c r="C129" s="107" t="s">
        <v>141</v>
      </c>
      <c r="E129" s="108" t="s">
        <v>142</v>
      </c>
      <c r="F129" s="4"/>
      <c r="G129" s="109">
        <v>20000000</v>
      </c>
      <c r="I129" s="118">
        <f>G88-I88</f>
      </c>
      <c r="K129" s="114">
        <f>IF(I88&gt;G88,"NIL",P129)</f>
      </c>
      <c r="L129" s="14"/>
      <c r="M129" s="114">
        <f>IF(I88&gt;G88,"NIL",Q129)</f>
      </c>
      <c r="N129" s="52"/>
      <c r="P129" s="82">
        <f>PMT($J$127,$M$19*12,,-I129,1)</f>
      </c>
      <c r="Q129" s="25">
        <f>PV($Q$21,$M$19,,-I129,0)</f>
      </c>
    </row>
    <row r="130">
      <c r="B130" s="51"/>
      <c r="C130" s="64"/>
      <c r="E130" s="65"/>
      <c r="F130" s="4"/>
      <c r="G130" s="65"/>
      <c r="I130" s="83"/>
      <c r="K130" s="14"/>
      <c r="L130" s="14"/>
      <c r="M130" s="84"/>
      <c r="N130" s="52"/>
      <c r="P130" s="85"/>
      <c r="Q130" s="86"/>
    </row>
    <row r="131" ht="21" customHeight="1">
      <c r="B131" s="51"/>
      <c r="C131" s="136" t="s">
        <v>143</v>
      </c>
      <c r="E131" s="137" t="s">
        <v>144</v>
      </c>
      <c r="F131" s="4"/>
      <c r="G131" s="138">
        <v>40000000</v>
      </c>
      <c r="I131" s="140">
        <f>G90-I90</f>
      </c>
      <c r="K131" s="139">
        <f>IF(I90&gt;G90,"NIL",P131)</f>
      </c>
      <c r="L131" s="14"/>
      <c r="M131" s="139">
        <f>IF(I90&gt;G90,"NIL",Q131)</f>
      </c>
      <c r="N131" s="52"/>
      <c r="P131" s="82">
        <f>PMT($J$127,$M$19*12,,-I131,1)</f>
      </c>
      <c r="Q131" s="25">
        <f>PV($Q$21,$M$19,,-I131,0)</f>
      </c>
    </row>
    <row r="132">
      <c r="B132" s="51"/>
      <c r="C132" s="64"/>
      <c r="E132" s="65"/>
      <c r="F132" s="4"/>
      <c r="G132" s="65"/>
      <c r="I132" s="83"/>
      <c r="K132" s="14"/>
      <c r="L132" s="14"/>
      <c r="M132" s="84"/>
      <c r="N132" s="52"/>
      <c r="P132" s="85"/>
      <c r="Q132" s="86"/>
    </row>
    <row r="133" ht="21" customHeight="1">
      <c r="B133" s="51"/>
      <c r="C133" s="141" t="s">
        <v>145</v>
      </c>
      <c r="E133" s="142" t="s">
        <v>146</v>
      </c>
      <c r="F133" s="4"/>
      <c r="G133" s="143">
        <v>80000000</v>
      </c>
      <c r="I133" s="145">
        <f>G92-I92</f>
      </c>
      <c r="K133" s="144">
        <f>IF(I92&gt;G92,"NIL",P133)</f>
      </c>
      <c r="L133" s="14"/>
      <c r="M133" s="144">
        <f>IF(I92&gt;G92,"NIL",Q133)</f>
      </c>
      <c r="N133" s="52"/>
      <c r="P133" s="82">
        <f>PMT($J$127,$M$19*12,,-I133,1)</f>
      </c>
      <c r="Q133" s="25">
        <f>PV($Q$21,$M$19,,-I133,0)</f>
      </c>
    </row>
    <row r="134" ht="14.45" customHeight="1">
      <c r="B134" s="51"/>
      <c r="C134" s="101"/>
      <c r="D134" s="16"/>
      <c r="E134" s="102"/>
      <c r="F134" s="16"/>
      <c r="G134" s="75"/>
      <c r="I134" s="83"/>
      <c r="K134" s="113"/>
      <c r="L134" s="14"/>
      <c r="M134" s="113"/>
      <c r="N134" s="52"/>
      <c r="P134" s="82"/>
      <c r="Q134" s="25"/>
    </row>
    <row r="135" ht="21" customHeight="1">
      <c r="B135" s="51"/>
      <c r="C135" s="110" t="s">
        <v>147</v>
      </c>
      <c r="E135" s="111" t="s">
        <v>148</v>
      </c>
      <c r="F135" s="4"/>
      <c r="G135" s="112">
        <v>150000000</v>
      </c>
      <c r="I135" s="119">
        <f>G94-I94</f>
      </c>
      <c r="K135" s="115">
        <f>IF(I94&gt;G94,"NIL",P135)</f>
      </c>
      <c r="L135" s="14"/>
      <c r="M135" s="115">
        <f>IF(I94&gt;G94,"NIL",Q135)</f>
      </c>
      <c r="N135" s="52"/>
      <c r="P135" s="82">
        <f>PMT($J$127,$M$19*12,,-I135,1)</f>
      </c>
      <c r="Q135" s="25">
        <f>PV($Q$21,$M$19,,-I135,0)</f>
      </c>
    </row>
    <row r="136" ht="14.45" customHeight="1">
      <c r="B136" s="51"/>
      <c r="C136" s="101"/>
      <c r="D136" s="16"/>
      <c r="E136" s="102"/>
      <c r="F136" s="16"/>
      <c r="G136" s="75"/>
      <c r="I136" s="83"/>
      <c r="K136" s="113"/>
      <c r="L136" s="14"/>
      <c r="M136" s="113"/>
      <c r="N136" s="52"/>
      <c r="P136" s="82"/>
      <c r="Q136" s="25"/>
    </row>
    <row r="137" ht="21" customHeight="1">
      <c r="B137" s="51"/>
      <c r="C137" s="131" t="s">
        <v>149</v>
      </c>
      <c r="E137" s="132" t="s">
        <v>150</v>
      </c>
      <c r="F137" s="4"/>
      <c r="G137" s="133">
        <v>300000000</v>
      </c>
      <c r="I137" s="135">
        <f>G96-I96</f>
      </c>
      <c r="K137" s="134">
        <f>IF(I96&gt;G96,"NIL",P137)</f>
      </c>
      <c r="L137" s="14"/>
      <c r="M137" s="134">
        <f>IF(I96&gt;G96,"NIL",Q137)</f>
      </c>
      <c r="N137" s="52"/>
      <c r="P137" s="82">
        <f>PMT($J$127,$M$19*12,,-I137,1)</f>
      </c>
      <c r="Q137" s="25">
        <f>PV($Q$21,$M$19,,-I137,0)</f>
      </c>
    </row>
    <row r="138" ht="8.85" customHeight="1">
      <c r="B138" s="53"/>
      <c r="C138" s="7"/>
      <c r="D138" s="7"/>
      <c r="E138" s="7"/>
      <c r="F138" s="7"/>
      <c r="G138" s="7"/>
      <c r="H138" s="8"/>
      <c r="I138" s="7"/>
      <c r="J138" s="8"/>
      <c r="K138" s="7"/>
      <c r="L138" s="8"/>
      <c r="M138" s="7"/>
      <c r="N138" s="54"/>
    </row>
    <row r="151">
      <c r="I151" s="87"/>
    </row>
    <row r="155" ht="11.1" customHeight="1"/>
    <row r="156" ht="58.7" customHeight="1">
      <c r="B156" s="485" t="s">
        <v>176</v>
      </c>
      <c r="C156" s="485"/>
      <c r="D156" s="485"/>
      <c r="E156" s="485"/>
      <c r="F156" s="485"/>
      <c r="G156" s="485"/>
      <c r="H156" s="485"/>
      <c r="I156" s="485"/>
      <c r="J156" s="485"/>
      <c r="K156" s="485"/>
      <c r="L156" s="485"/>
      <c r="M156" s="485"/>
      <c r="N156" s="485"/>
    </row>
  </sheetData>
  <sheetProtection selectLockedCells="1"/>
  <mergeCells count="43">
    <mergeCell ref="B2:E2"/>
    <mergeCell ref="F2:N2"/>
    <mergeCell ref="B5:N5"/>
    <mergeCell ref="C8:E8"/>
    <mergeCell ref="G8:I8"/>
    <mergeCell ref="K8:M8"/>
    <mergeCell ref="C9:E9"/>
    <mergeCell ref="G9:I9"/>
    <mergeCell ref="K9:M9"/>
    <mergeCell ref="C11:E11"/>
    <mergeCell ref="G11:I11"/>
    <mergeCell ref="K11:M11"/>
    <mergeCell ref="C12:E12"/>
    <mergeCell ref="G12:I12"/>
    <mergeCell ref="K12:M12"/>
    <mergeCell ref="C14:E14"/>
    <mergeCell ref="G14:I14"/>
    <mergeCell ref="K14:M14"/>
    <mergeCell ref="K88:M88"/>
    <mergeCell ref="C15:E15"/>
    <mergeCell ref="G15:I15"/>
    <mergeCell ref="K15:M15"/>
    <mergeCell ref="B19:K19"/>
    <mergeCell ref="B22:N22"/>
    <mergeCell ref="C25:C26"/>
    <mergeCell ref="E25:E26"/>
    <mergeCell ref="G25:G26"/>
    <mergeCell ref="I25:I26"/>
    <mergeCell ref="K27:M27"/>
    <mergeCell ref="B42:N42"/>
    <mergeCell ref="B81:N81"/>
    <mergeCell ref="K84:M84"/>
    <mergeCell ref="K86:M86"/>
    <mergeCell ref="B156:N156"/>
    <mergeCell ref="K90:M90"/>
    <mergeCell ref="K92:M92"/>
    <mergeCell ref="B121:N121"/>
    <mergeCell ref="C124:C125"/>
    <mergeCell ref="E124:E125"/>
    <mergeCell ref="G124:G125"/>
    <mergeCell ref="I124:I125"/>
    <mergeCell ref="K94:M94"/>
    <mergeCell ref="K96:M96"/>
  </mergeCells>
  <printOptions horizontalCentered="1" verticalCentered="1"/>
  <pageMargins left="0.11811023622047245" right="0.11811023622047245" top="0.15748031496062992" bottom="0.15748031496062992" header="0.31496062992125984" footer="0.31496062992125984"/>
  <pageSetup paperSize="9" scale="6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37"/>
  <sheetViews>
    <sheetView zoomScale="95" zoomScaleNormal="95" workbookViewId="0">
      <pane xSplit="2" ySplit="2" topLeftCell="I27" activePane="bottomRight" state="frozen"/>
      <selection pane="bottomRight" activeCell="A37" sqref="A37"/>
      <selection pane="bottomLeft" activeCell="A3" sqref="A3"/>
      <selection pane="topRight" activeCell="C1" sqref="C1"/>
    </sheetView>
  </sheetViews>
  <sheetFormatPr defaultColWidth="8.7109375" defaultRowHeight="12.75" customHeight="1"/>
  <cols>
    <col min="1" max="1" width="12.5703125" style="289" customWidth="1"/>
    <col min="2" max="2" width="26.5703125" style="289" customWidth="1"/>
    <col min="3" max="3" width="14.5703125" style="290" customWidth="1"/>
    <col min="4" max="4" width="12" style="290" bestFit="1" customWidth="1"/>
    <col min="5" max="5" width="15.28515625" style="290" customWidth="1"/>
    <col min="6" max="6" width="11.7109375" style="290" customWidth="1"/>
    <col min="7" max="7" width="15.7109375" style="290" customWidth="1"/>
    <col min="8" max="8" width="14" style="290" customWidth="1"/>
    <col min="9" max="9" width="16.28515625" style="290" customWidth="1"/>
    <col min="10" max="10" width="13.5703125" style="290" customWidth="1"/>
    <col min="11" max="11" width="14" style="290" customWidth="1"/>
    <col min="12" max="12" width="21.5703125" style="290" customWidth="1"/>
    <col min="13" max="14" width="13.42578125" style="290" hidden="1" customWidth="1"/>
    <col min="15" max="16" width="11.28515625" style="290" hidden="1" customWidth="1"/>
    <col min="17" max="18" width="12.28515625" style="290" hidden="1" customWidth="1"/>
    <col min="19" max="21" width="14.28515625" style="290" hidden="1" customWidth="1"/>
    <col min="22" max="22" width="19.28515625" style="290" hidden="1" customWidth="1"/>
    <col min="23" max="23" width="16.28515625" style="290" hidden="1" customWidth="1"/>
    <col min="24" max="24" width="15" style="290" hidden="1" customWidth="1"/>
    <col min="25" max="25" width="19.42578125" style="290" hidden="1" customWidth="1"/>
    <col min="26" max="26" width="16.28515625" style="290" hidden="1" customWidth="1"/>
    <col min="27" max="27" width="14" style="290" hidden="1" customWidth="1"/>
    <col min="28" max="28" width="0.28515625" style="290" hidden="1" customWidth="1"/>
    <col min="29" max="29" width="4.140625" style="290" hidden="1" customWidth="1"/>
    <col min="30" max="30" width="15.140625" style="290" bestFit="1" customWidth="1"/>
    <col min="31" max="31" width="13.28515625" style="290" hidden="1" customWidth="1"/>
    <col min="32" max="32" width="21" style="290" customWidth="1"/>
    <col min="33" max="35" width="10.7109375" style="290" hidden="1" customWidth="1"/>
    <col min="36" max="36" width="11.28515625" style="290" hidden="1" customWidth="1"/>
    <col min="37" max="37" width="8.7109375" style="290" hidden="1" customWidth="1"/>
    <col min="38" max="38" width="9.28515625" style="290" hidden="1" customWidth="1"/>
    <col min="39" max="39" width="10.28515625" style="290" hidden="1" customWidth="1"/>
    <col min="40" max="40" width="13.5703125" style="290" hidden="1" customWidth="1"/>
    <col min="41" max="41" width="13.28515625" style="290" hidden="1" customWidth="1"/>
    <col min="42" max="42" width="15.7109375" style="290" hidden="1" customWidth="1"/>
    <col min="43" max="43" width="14.7109375" style="290" hidden="1" customWidth="1"/>
    <col min="44" max="44" width="15.28515625" style="290" hidden="1" customWidth="1"/>
    <col min="45" max="45" width="14" style="290" customWidth="1"/>
    <col min="46" max="46" width="18.7109375" style="290" customWidth="1"/>
    <col min="47" max="53" width="18.7109375" style="290" hidden="1" customWidth="1"/>
    <col min="54" max="55" width="14.7109375" style="290" hidden="1" customWidth="1"/>
    <col min="56" max="56" width="20.7109375" style="290" hidden="1" customWidth="1"/>
    <col min="57" max="57" width="12.28515625" style="290" hidden="1" customWidth="1"/>
    <col min="58" max="60" width="18.7109375" style="290" hidden="1" customWidth="1"/>
    <col min="61" max="61" width="16.42578125" style="290" hidden="1" customWidth="1"/>
    <col min="62" max="62" width="22" style="290" hidden="1" customWidth="1"/>
    <col min="63" max="63" width="11.28515625" style="290" hidden="1" customWidth="1"/>
    <col min="64" max="65" width="22" style="290" customWidth="1"/>
    <col min="66" max="67" width="22.28515625" style="290" customWidth="1"/>
    <col min="68" max="68" width="8.7109375" style="289" customWidth="1"/>
    <col min="69" max="69" width="5" style="289" customWidth="1"/>
    <col min="70" max="16384" width="8.7109375" style="289"/>
  </cols>
  <sheetData>
    <row r="1" ht="15" customHeight="1">
      <c r="C1" s="516" t="s">
        <v>14</v>
      </c>
      <c r="D1" s="516"/>
      <c r="E1" s="516"/>
      <c r="F1" s="516"/>
      <c r="G1" s="516"/>
      <c r="H1" s="516"/>
      <c r="I1" s="516"/>
      <c r="J1" s="516"/>
      <c r="K1" s="516"/>
      <c r="L1" s="516"/>
      <c r="M1" s="517" t="s">
        <v>177</v>
      </c>
      <c r="N1" s="517"/>
      <c r="O1" s="517"/>
      <c r="P1" s="517"/>
      <c r="Q1" s="517"/>
      <c r="R1" s="517"/>
      <c r="S1" s="517"/>
      <c r="T1" s="517"/>
      <c r="U1" s="517"/>
      <c r="V1" s="517"/>
      <c r="W1" s="518" t="s">
        <v>178</v>
      </c>
      <c r="X1" s="518"/>
      <c r="Y1" s="518"/>
      <c r="Z1" s="518"/>
      <c r="AA1" s="518"/>
      <c r="AB1" s="518"/>
      <c r="AC1" s="519" t="s">
        <v>179</v>
      </c>
      <c r="AD1" s="519"/>
      <c r="AE1" s="519"/>
      <c r="AF1" s="519"/>
      <c r="AG1" s="520" t="s">
        <v>180</v>
      </c>
      <c r="AH1" s="520"/>
      <c r="AI1" s="520"/>
      <c r="AJ1" s="520"/>
      <c r="AK1" s="520"/>
      <c r="AL1" s="520"/>
      <c r="AM1" s="520"/>
      <c r="AN1" s="520"/>
      <c r="AO1" s="520"/>
      <c r="AP1" s="520"/>
      <c r="AQ1" s="520" t="s">
        <v>181</v>
      </c>
      <c r="AR1" s="520"/>
      <c r="AS1" s="513"/>
      <c r="AT1" s="513"/>
      <c r="AU1" s="514" t="s">
        <v>182</v>
      </c>
      <c r="AV1" s="514"/>
      <c r="AW1" s="514"/>
      <c r="AX1" s="514"/>
      <c r="AY1" s="514"/>
      <c r="AZ1" s="514"/>
      <c r="BA1" s="514"/>
      <c r="BB1" s="515" t="s">
        <v>183</v>
      </c>
      <c r="BC1" s="515"/>
      <c r="BD1" s="515"/>
      <c r="BE1" s="515"/>
      <c r="BF1" s="515"/>
      <c r="BG1" s="515"/>
      <c r="BH1" s="515"/>
      <c r="BI1" s="515"/>
      <c r="BJ1" s="515"/>
      <c r="BM1" s="513" t="s">
        <v>184</v>
      </c>
      <c r="BN1" s="513"/>
      <c r="BO1" s="513"/>
    </row>
    <row r="2" ht="67.5" customHeight="1">
      <c r="A2" s="293" t="s">
        <v>185</v>
      </c>
      <c r="B2" s="293" t="s">
        <v>186</v>
      </c>
      <c r="C2" s="294" t="s">
        <v>187</v>
      </c>
      <c r="D2" s="294" t="s">
        <v>188</v>
      </c>
      <c r="E2" s="294" t="s">
        <v>189</v>
      </c>
      <c r="F2" s="294" t="s">
        <v>190</v>
      </c>
      <c r="G2" s="294" t="s">
        <v>191</v>
      </c>
      <c r="H2" s="294" t="s">
        <v>192</v>
      </c>
      <c r="I2" s="294" t="s">
        <v>193</v>
      </c>
      <c r="J2" s="294" t="s">
        <v>194</v>
      </c>
      <c r="K2" s="294" t="s">
        <v>195</v>
      </c>
      <c r="L2" s="294" t="s">
        <v>196</v>
      </c>
      <c r="M2" s="295" t="s">
        <v>187</v>
      </c>
      <c r="N2" s="295" t="s">
        <v>188</v>
      </c>
      <c r="O2" s="295" t="s">
        <v>189</v>
      </c>
      <c r="P2" s="295" t="s">
        <v>190</v>
      </c>
      <c r="Q2" s="295" t="s">
        <v>191</v>
      </c>
      <c r="R2" s="295" t="s">
        <v>192</v>
      </c>
      <c r="S2" s="295" t="s">
        <v>193</v>
      </c>
      <c r="T2" s="295" t="s">
        <v>194</v>
      </c>
      <c r="U2" s="295" t="s">
        <v>197</v>
      </c>
      <c r="V2" s="295" t="s">
        <v>198</v>
      </c>
      <c r="W2" s="296" t="s">
        <v>187</v>
      </c>
      <c r="X2" s="296" t="s">
        <v>189</v>
      </c>
      <c r="Y2" s="296" t="s">
        <v>191</v>
      </c>
      <c r="Z2" s="296" t="s">
        <v>193</v>
      </c>
      <c r="AA2" s="296" t="s">
        <v>199</v>
      </c>
      <c r="AB2" s="296" t="s">
        <v>200</v>
      </c>
      <c r="AC2" s="297" t="s">
        <v>201</v>
      </c>
      <c r="AD2" s="298" t="s">
        <v>202</v>
      </c>
      <c r="AE2" s="299" t="s">
        <v>203</v>
      </c>
      <c r="AF2" s="294" t="s">
        <v>204</v>
      </c>
      <c r="AG2" s="298" t="s">
        <v>187</v>
      </c>
      <c r="AH2" s="298" t="s">
        <v>188</v>
      </c>
      <c r="AI2" s="298" t="s">
        <v>189</v>
      </c>
      <c r="AJ2" s="298" t="s">
        <v>190</v>
      </c>
      <c r="AK2" s="298" t="s">
        <v>191</v>
      </c>
      <c r="AL2" s="298" t="s">
        <v>192</v>
      </c>
      <c r="AM2" s="298" t="s">
        <v>193</v>
      </c>
      <c r="AN2" s="298" t="s">
        <v>205</v>
      </c>
      <c r="AO2" s="298" t="s">
        <v>206</v>
      </c>
      <c r="AP2" s="298" t="s">
        <v>207</v>
      </c>
      <c r="AQ2" s="300" t="s">
        <v>208</v>
      </c>
      <c r="AR2" s="300" t="s">
        <v>209</v>
      </c>
      <c r="AS2" s="301" t="s">
        <v>210</v>
      </c>
      <c r="AT2" s="301" t="s">
        <v>211</v>
      </c>
      <c r="AU2" s="291" t="s">
        <v>212</v>
      </c>
      <c r="AV2" s="291" t="s">
        <v>187</v>
      </c>
      <c r="AW2" s="291" t="s">
        <v>189</v>
      </c>
      <c r="AX2" s="291" t="s">
        <v>191</v>
      </c>
      <c r="AY2" s="291" t="s">
        <v>193</v>
      </c>
      <c r="AZ2" s="291" t="s">
        <v>213</v>
      </c>
      <c r="BA2" s="291" t="s">
        <v>214</v>
      </c>
      <c r="BB2" s="292" t="s">
        <v>215</v>
      </c>
      <c r="BC2" s="292" t="s">
        <v>215</v>
      </c>
      <c r="BD2" s="292" t="s">
        <v>216</v>
      </c>
      <c r="BE2" s="292" t="s">
        <v>217</v>
      </c>
      <c r="BF2" s="292" t="s">
        <v>218</v>
      </c>
      <c r="BG2" s="292" t="s">
        <v>219</v>
      </c>
      <c r="BH2" s="292" t="s">
        <v>220</v>
      </c>
      <c r="BI2" s="292" t="s">
        <v>221</v>
      </c>
      <c r="BJ2" s="292" t="s">
        <v>222</v>
      </c>
      <c r="BK2" s="290" t="s">
        <v>223</v>
      </c>
      <c r="BL2" s="290" t="s">
        <v>224</v>
      </c>
      <c r="BM2" s="290" t="s">
        <v>225</v>
      </c>
      <c r="BN2" s="290" t="s">
        <v>226</v>
      </c>
      <c r="BO2" s="290" t="s">
        <v>227</v>
      </c>
    </row>
    <row r="3" ht="12.6">
      <c r="A3" s="302"/>
      <c r="B3" s="289"/>
      <c r="C3" s="290"/>
      <c r="E3" s="290"/>
      <c r="G3" s="290"/>
      <c r="I3" s="290"/>
      <c r="K3" s="290"/>
      <c r="L3" s="290"/>
      <c r="AD3" s="290"/>
      <c r="AF3" s="290"/>
      <c r="BL3" s="290"/>
      <c r="BN3" s="290"/>
      <c r="BO3" s="290"/>
    </row>
    <row r="4" ht="14.1">
      <c r="A4" s="303"/>
      <c r="B4" s="304"/>
      <c r="C4" s="305"/>
      <c r="E4" s="305"/>
      <c r="G4" s="305"/>
      <c r="I4" s="305"/>
      <c r="AD4" s="305"/>
    </row>
    <row r="5" ht="14.1">
      <c r="A5" s="303"/>
      <c r="B5" s="304"/>
      <c r="C5" s="305"/>
      <c r="E5" s="305"/>
      <c r="G5" s="305"/>
      <c r="I5" s="305"/>
      <c r="K5" s="290"/>
      <c r="L5" s="290"/>
      <c r="AD5" s="305"/>
      <c r="AF5" s="290"/>
      <c r="BL5" s="290"/>
      <c r="BN5" s="290"/>
      <c r="BO5" s="290"/>
    </row>
    <row r="7" ht="12.6">
      <c r="A7" s="302"/>
      <c r="B7" s="289"/>
      <c r="C7" s="290"/>
      <c r="E7" s="290"/>
      <c r="G7" s="290"/>
      <c r="I7" s="290"/>
      <c r="K7" s="290"/>
      <c r="L7" s="290"/>
      <c r="AD7" s="290"/>
      <c r="AF7" s="290"/>
      <c r="BL7" s="290"/>
      <c r="BN7" s="290"/>
      <c r="BO7" s="290"/>
    </row>
    <row r="9" ht="12.6">
      <c r="A9" s="302"/>
      <c r="B9" s="289"/>
      <c r="C9" s="290"/>
      <c r="E9" s="290"/>
      <c r="G9" s="290"/>
      <c r="I9" s="290"/>
      <c r="K9" s="290"/>
      <c r="L9" s="290"/>
      <c r="AD9" s="290"/>
      <c r="AF9" s="290"/>
      <c r="BL9" s="290"/>
      <c r="BM9" s="290"/>
      <c r="BN9" s="290"/>
      <c r="BO9" s="290"/>
    </row>
    <row r="11" ht="12.6">
      <c r="A11" s="302"/>
      <c r="B11" s="289"/>
      <c r="C11" s="290"/>
      <c r="E11" s="290"/>
      <c r="G11" s="290"/>
      <c r="I11" s="290"/>
      <c r="K11" s="290"/>
      <c r="L11" s="290"/>
      <c r="AD11" s="290"/>
      <c r="AF11" s="290"/>
      <c r="BL11" s="290"/>
      <c r="BM11" s="290"/>
      <c r="BN11" s="290"/>
      <c r="BO11" s="290"/>
    </row>
    <row r="13" ht="12.6">
      <c r="A13" s="302"/>
      <c r="B13" s="289"/>
      <c r="C13" s="290"/>
      <c r="E13" s="290"/>
      <c r="G13" s="290"/>
      <c r="I13" s="290"/>
      <c r="K13" s="290"/>
      <c r="L13" s="290"/>
      <c r="AD13" s="290"/>
      <c r="AF13" s="290"/>
      <c r="BL13" s="290"/>
      <c r="BM13" s="290"/>
      <c r="BN13" s="290"/>
      <c r="BO13" s="290"/>
    </row>
    <row r="14" ht="12.6">
      <c r="A14" s="302"/>
    </row>
    <row r="15" ht="12.6">
      <c r="A15" s="302"/>
      <c r="B15" s="289"/>
      <c r="C15" s="290"/>
      <c r="E15" s="290"/>
      <c r="G15" s="290"/>
      <c r="I15" s="290"/>
      <c r="K15" s="290"/>
      <c r="L15" s="290"/>
      <c r="AD15" s="290"/>
      <c r="AF15" s="290"/>
      <c r="BL15" s="290"/>
      <c r="BM15" s="290"/>
      <c r="BN15" s="290"/>
      <c r="BO15" s="290"/>
    </row>
    <row r="17" ht="12.6">
      <c r="A17" s="302"/>
      <c r="B17" s="289"/>
      <c r="C17" s="290"/>
      <c r="E17" s="290"/>
      <c r="G17" s="290"/>
      <c r="I17" s="290"/>
      <c r="K17" s="290"/>
      <c r="L17" s="290"/>
      <c r="AD17" s="290"/>
      <c r="AF17" s="290"/>
      <c r="BL17" s="290"/>
      <c r="BM17" s="290"/>
      <c r="BN17" s="290"/>
      <c r="BO17" s="290"/>
    </row>
    <row r="18" ht="12.6">
      <c r="A18" s="302"/>
    </row>
    <row r="19" ht="12.6">
      <c r="A19" s="302"/>
      <c r="B19" s="289"/>
      <c r="C19" s="290"/>
      <c r="E19" s="290"/>
      <c r="G19" s="290"/>
      <c r="I19" s="290"/>
      <c r="K19" s="290"/>
      <c r="L19" s="290"/>
      <c r="AD19" s="290"/>
      <c r="AF19" s="290"/>
      <c r="BL19" s="290"/>
      <c r="BM19" s="290"/>
      <c r="BN19" s="290"/>
      <c r="BO19" s="290"/>
    </row>
    <row r="21" ht="12.6">
      <c r="A21" s="302"/>
      <c r="B21" s="306"/>
      <c r="C21" s="307"/>
      <c r="D21" s="307"/>
      <c r="E21" s="307"/>
      <c r="F21" s="307"/>
      <c r="G21" s="307"/>
      <c r="H21" s="306"/>
      <c r="I21" s="307"/>
      <c r="J21" s="307"/>
      <c r="K21" s="307"/>
      <c r="L21" s="307"/>
      <c r="M21" s="289"/>
      <c r="N21" s="289"/>
      <c r="O21" s="289"/>
      <c r="P21" s="289"/>
      <c r="Q21" s="289"/>
      <c r="R21" s="289"/>
      <c r="AD21" s="307"/>
      <c r="AE21" s="307"/>
      <c r="AF21" s="307"/>
      <c r="AG21" s="289"/>
      <c r="AH21" s="289"/>
      <c r="AI21" s="289"/>
      <c r="BL21" s="307"/>
      <c r="BM21" s="307"/>
      <c r="BN21" s="307"/>
      <c r="BO21" s="307"/>
    </row>
    <row r="23" ht="12.75" customHeight="1">
      <c r="A23" s="302"/>
      <c r="B23" s="289"/>
      <c r="C23" s="290"/>
      <c r="D23" s="290"/>
      <c r="E23" s="290"/>
      <c r="F23" s="290"/>
      <c r="G23" s="290"/>
      <c r="H23" s="290"/>
      <c r="I23" s="290"/>
      <c r="J23" s="290"/>
      <c r="K23" s="290"/>
      <c r="L23" s="290"/>
      <c r="AD23" s="290"/>
      <c r="AF23" s="290"/>
      <c r="BL23" s="290"/>
      <c r="BM23" s="290"/>
      <c r="BN23" s="290"/>
      <c r="BO23" s="290"/>
    </row>
    <row r="25" ht="12.6">
      <c r="A25" s="289"/>
      <c r="B25" s="289"/>
      <c r="C25" s="290"/>
      <c r="D25" s="290"/>
      <c r="E25" s="290"/>
      <c r="F25" s="290"/>
      <c r="G25" s="290"/>
      <c r="H25" s="290"/>
      <c r="I25" s="290"/>
      <c r="J25" s="290"/>
      <c r="K25" s="290"/>
      <c r="L25" s="290"/>
      <c r="AD25" s="290"/>
      <c r="AF25" s="290"/>
      <c r="BL25" s="290"/>
      <c r="BM25" s="290"/>
      <c r="BN25" s="290"/>
      <c r="BO25" s="290"/>
    </row>
    <row r="26" ht="12.6"/>
    <row r="27" ht="12.6">
      <c r="A27" s="289"/>
      <c r="B27" s="289"/>
      <c r="C27" s="290"/>
      <c r="D27" s="290"/>
      <c r="E27" s="290"/>
      <c r="F27" s="290"/>
      <c r="G27" s="290"/>
      <c r="H27" s="290"/>
      <c r="I27" s="290"/>
      <c r="J27" s="290"/>
      <c r="K27" s="290"/>
      <c r="L27" s="290"/>
      <c r="AD27" s="290"/>
      <c r="AF27" s="290"/>
      <c r="BL27" s="290"/>
      <c r="BM27" s="290"/>
      <c r="BN27" s="290"/>
      <c r="BO27" s="290"/>
    </row>
    <row r="28" ht="12.6"/>
    <row r="29" ht="12.6">
      <c r="A29" s="289"/>
      <c r="B29" s="289"/>
      <c r="C29" s="290"/>
      <c r="D29" s="290"/>
      <c r="E29" s="290"/>
      <c r="F29" s="290"/>
      <c r="G29" s="290"/>
      <c r="H29" s="290"/>
      <c r="I29" s="290"/>
      <c r="J29" s="290"/>
      <c r="K29" s="290"/>
      <c r="L29" s="290"/>
      <c r="AD29" s="290"/>
      <c r="AF29" s="290"/>
      <c r="BL29" s="290"/>
      <c r="BM29" s="290"/>
      <c r="BN29" s="290"/>
      <c r="BO29" s="290"/>
    </row>
    <row r="30" ht="12.6"/>
    <row r="31" ht="12.6">
      <c r="A31" s="289"/>
      <c r="B31" s="289"/>
      <c r="C31" s="290"/>
      <c r="D31" s="290"/>
      <c r="E31" s="290"/>
      <c r="F31" s="290"/>
      <c r="G31" s="290"/>
      <c r="H31" s="290"/>
      <c r="I31" s="290"/>
      <c r="J31" s="290"/>
      <c r="K31" s="290"/>
      <c r="L31" s="290"/>
      <c r="AD31" s="290"/>
      <c r="AF31" s="290"/>
      <c r="BL31" s="290"/>
      <c r="BM31" s="290"/>
      <c r="BN31" s="290"/>
      <c r="BO31" s="290"/>
    </row>
    <row r="33" ht="24.95">
      <c r="A33" s="302"/>
      <c r="B33" s="289"/>
      <c r="C33" s="290"/>
      <c r="D33" s="290"/>
      <c r="E33" s="290"/>
      <c r="F33" s="290"/>
      <c r="G33" s="290"/>
      <c r="H33" s="290"/>
      <c r="I33" s="290"/>
      <c r="J33" s="290"/>
      <c r="K33" s="290"/>
      <c r="L33" s="290"/>
      <c r="AD33" s="290"/>
      <c r="AF33" s="290"/>
      <c r="AS33" s="290"/>
      <c r="AT33" s="290"/>
      <c r="BL33" s="290"/>
      <c r="BM33" s="290"/>
      <c r="BN33" s="290"/>
      <c r="BO33" s="290"/>
    </row>
    <row r="35" ht="12.75" customHeight="1">
      <c r="A35" s="302"/>
      <c r="B35" s="289"/>
      <c r="C35" s="290"/>
      <c r="D35" s="290"/>
      <c r="E35" s="290"/>
      <c r="F35" s="290"/>
      <c r="G35" s="290"/>
      <c r="H35" s="290"/>
      <c r="I35" s="290"/>
      <c r="J35" s="290"/>
      <c r="K35" s="290"/>
      <c r="L35" s="290"/>
      <c r="AD35" s="290"/>
      <c r="AF35" s="290"/>
      <c r="BL35" s="290"/>
      <c r="BM35" s="290"/>
      <c r="BN35" s="290"/>
      <c r="BO35" s="290"/>
    </row>
    <row r="36" ht="12.6"/>
    <row r="37" ht="12.75" customHeight="1">
      <c r="A37" s="302"/>
      <c r="B37" s="289"/>
      <c r="C37" s="290"/>
      <c r="D37" s="290"/>
      <c r="E37" s="290"/>
      <c r="F37" s="290"/>
      <c r="G37" s="290"/>
      <c r="H37" s="290"/>
      <c r="I37" s="290"/>
      <c r="J37" s="290"/>
      <c r="K37" s="290"/>
      <c r="L37" s="290"/>
      <c r="AD37" s="290"/>
      <c r="AF37" s="290"/>
      <c r="AS37" s="290"/>
      <c r="BL37" s="290"/>
      <c r="BM37" s="290"/>
      <c r="BN37" s="290"/>
      <c r="BO37" s="290"/>
    </row>
  </sheetData>
  <mergeCells count="10">
    <mergeCell ref="AS1:AT1"/>
    <mergeCell ref="AU1:BA1"/>
    <mergeCell ref="BB1:BJ1"/>
    <mergeCell ref="BM1:BO1"/>
    <mergeCell ref="C1:L1"/>
    <mergeCell ref="M1:V1"/>
    <mergeCell ref="W1:AB1"/>
    <mergeCell ref="AC1:AF1"/>
    <mergeCell ref="AG1:AP1"/>
    <mergeCell ref="AQ1:AR1"/>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51"/>
  <sheetViews>
    <sheetView workbookViewId="0">
      <pane xSplit="3" topLeftCell="D16" activePane="topRight" state="frozen"/>
      <selection pane="topRight" activeCell="J31" sqref="J31"/>
    </sheetView>
  </sheetViews>
  <sheetFormatPr defaultColWidth="8.85546875" defaultRowHeight="15.75" customHeight="1"/>
  <cols>
    <col min="1" max="1" width="11.85546875" style="308" customWidth="1"/>
    <col min="2" max="2" width="49.85546875" style="308" customWidth="1"/>
    <col min="3" max="3" width="22" style="308" customWidth="1"/>
    <col min="4" max="4" width="19.5703125" style="311" customWidth="1"/>
    <col min="5" max="5" width="17.7109375" style="309" hidden="1" customWidth="1"/>
    <col min="6" max="6" width="18.42578125" style="309" customWidth="1"/>
    <col min="7" max="7" width="20.5703125" style="311" customWidth="1"/>
    <col min="8" max="8" width="15.42578125" style="310" customWidth="1"/>
    <col min="9" max="9" width="13.7109375" style="310" customWidth="1"/>
    <col min="10" max="10" width="20.42578125" style="311" customWidth="1"/>
    <col min="11" max="11" width="11.7109375" style="310" customWidth="1"/>
    <col min="12" max="12" width="12.28515625" style="309" customWidth="1"/>
    <col min="13" max="13" width="6" style="309" hidden="1" customWidth="1"/>
    <col min="14" max="14" width="8.85546875" style="308" hidden="1" customWidth="1"/>
    <col min="15" max="15" width="16.28515625" style="311" customWidth="1"/>
    <col min="16" max="18" width="8.85546875" style="308" customWidth="1"/>
    <col min="19" max="19" width="23.5703125" style="308" customWidth="1"/>
    <col min="20" max="22" width="8.85546875" style="308" customWidth="1"/>
    <col min="23" max="16384" width="8.85546875" style="308"/>
  </cols>
  <sheetData>
    <row r="1" ht="22.15" customHeight="1">
      <c r="A1" s="319"/>
      <c r="B1" s="319" t="s">
        <v>234</v>
      </c>
      <c r="C1" s="319"/>
      <c r="D1" s="320"/>
      <c r="E1" s="321"/>
      <c r="F1" s="322"/>
      <c r="G1" s="320"/>
      <c r="H1" s="321"/>
      <c r="I1" s="321"/>
      <c r="J1" s="320"/>
      <c r="K1" s="321"/>
      <c r="L1" s="321"/>
      <c r="M1" s="321"/>
      <c r="N1" s="321"/>
      <c r="O1" s="320"/>
      <c r="P1" s="321"/>
      <c r="Q1" s="319"/>
      <c r="R1" s="319"/>
      <c r="S1" s="319"/>
      <c r="T1" s="319"/>
      <c r="U1" s="323"/>
      <c r="V1" s="323"/>
      <c r="W1" s="324"/>
    </row>
    <row r="2" s="312" customFormat="1" ht="36.75" customHeight="1">
      <c r="A2" s="325" t="s">
        <v>235</v>
      </c>
      <c r="B2" s="325" t="s">
        <v>236</v>
      </c>
      <c r="C2" s="325" t="s">
        <v>237</v>
      </c>
      <c r="D2" s="326" t="s">
        <v>238</v>
      </c>
      <c r="E2" s="327" t="s">
        <v>239</v>
      </c>
      <c r="F2" s="328" t="s">
        <v>240</v>
      </c>
      <c r="G2" s="326" t="s">
        <v>241</v>
      </c>
      <c r="H2" s="327" t="s">
        <v>242</v>
      </c>
      <c r="I2" s="327" t="s">
        <v>243</v>
      </c>
      <c r="J2" s="326" t="s">
        <v>244</v>
      </c>
      <c r="K2" s="329" t="s">
        <v>245</v>
      </c>
      <c r="L2" s="327" t="s">
        <v>246</v>
      </c>
      <c r="M2" s="327" t="s">
        <v>247</v>
      </c>
      <c r="N2" s="327" t="s">
        <v>248</v>
      </c>
      <c r="O2" s="326" t="s">
        <v>249</v>
      </c>
      <c r="P2" s="330" t="s">
        <v>250</v>
      </c>
      <c r="Q2" s="325" t="s">
        <v>251</v>
      </c>
      <c r="R2" s="325" t="s">
        <v>252</v>
      </c>
      <c r="S2" s="325" t="s">
        <v>253</v>
      </c>
      <c r="T2" s="325" t="s">
        <v>254</v>
      </c>
      <c r="U2" s="331" t="s">
        <v>255</v>
      </c>
      <c r="V2" s="331"/>
      <c r="W2" s="324"/>
      <c r="X2" s="308"/>
      <c r="Y2" s="308"/>
      <c r="Z2" s="308"/>
      <c r="AA2" s="308"/>
    </row>
    <row r="3" ht="15.75" customHeight="1">
      <c r="A3" s="314"/>
      <c r="B3" s="313"/>
      <c r="C3" s="314"/>
      <c r="D3" s="315"/>
      <c r="E3" s="314"/>
      <c r="F3" s="316"/>
      <c r="G3" s="315"/>
      <c r="H3" s="314"/>
      <c r="I3" s="314"/>
      <c r="J3" s="315"/>
      <c r="K3" s="314"/>
      <c r="L3" s="314"/>
      <c r="M3" s="314"/>
      <c r="N3" s="314"/>
      <c r="O3" s="355"/>
      <c r="P3" s="332"/>
      <c r="Q3" s="333"/>
      <c r="R3" s="334"/>
      <c r="S3" s="334"/>
      <c r="T3" s="334"/>
      <c r="U3" s="335"/>
      <c r="V3" s="335"/>
      <c r="W3" s="336"/>
    </row>
    <row r="4">
      <c r="A4" s="359"/>
      <c r="B4" s="360"/>
      <c r="C4" s="359"/>
      <c r="D4" s="361"/>
      <c r="E4" s="362"/>
      <c r="F4" s="359"/>
      <c r="G4" s="361"/>
      <c r="H4" s="361"/>
      <c r="I4" s="361"/>
      <c r="J4" s="361"/>
      <c r="K4" s="359"/>
      <c r="L4" s="359"/>
      <c r="M4" s="363"/>
      <c r="N4" s="363"/>
    </row>
    <row r="5">
      <c r="A5" s="366"/>
      <c r="B5" s="366"/>
      <c r="C5" s="366"/>
      <c r="D5" s="367"/>
      <c r="E5" s="366"/>
      <c r="F5" s="367"/>
      <c r="G5" s="367"/>
      <c r="H5" s="366"/>
      <c r="I5" s="366"/>
      <c r="J5" s="367"/>
      <c r="K5" s="366"/>
      <c r="L5" s="366"/>
      <c r="M5" s="366"/>
      <c r="N5" s="366"/>
      <c r="O5" s="357"/>
    </row>
    <row r="6" ht="29.25">
      <c r="A6" s="366"/>
      <c r="B6" s="366"/>
      <c r="C6" s="366"/>
      <c r="D6" s="367"/>
      <c r="E6" s="366"/>
      <c r="F6" s="367"/>
      <c r="G6" s="367"/>
      <c r="H6" s="366"/>
      <c r="I6" s="366"/>
      <c r="J6" s="367"/>
      <c r="K6" s="366"/>
      <c r="L6" s="366"/>
      <c r="M6" s="366"/>
      <c r="N6" s="366"/>
      <c r="O6" s="357"/>
    </row>
    <row r="7">
      <c r="A7" s="366"/>
      <c r="B7" s="366"/>
      <c r="C7" s="366"/>
      <c r="D7" s="367"/>
      <c r="E7" s="366"/>
      <c r="F7" s="366"/>
      <c r="G7" s="367"/>
      <c r="H7" s="366"/>
      <c r="I7" s="366"/>
      <c r="J7" s="367"/>
      <c r="K7" s="366"/>
      <c r="L7" s="366"/>
      <c r="M7" s="366"/>
      <c r="N7" s="366"/>
      <c r="O7" s="357"/>
    </row>
    <row r="8">
      <c r="A8" s="366"/>
      <c r="B8" s="366"/>
      <c r="C8" s="366"/>
      <c r="D8" s="367"/>
      <c r="E8" s="366"/>
      <c r="F8" s="367"/>
      <c r="G8" s="367"/>
      <c r="H8" s="366"/>
      <c r="I8" s="366"/>
      <c r="J8" s="367"/>
      <c r="K8" s="366"/>
      <c r="L8" s="366"/>
      <c r="M8" s="366"/>
      <c r="N8" s="366"/>
      <c r="O8" s="357"/>
    </row>
    <row r="9">
      <c r="A9" s="366"/>
      <c r="B9" s="366"/>
      <c r="C9" s="366"/>
      <c r="D9" s="367"/>
      <c r="E9" s="366"/>
      <c r="F9" s="367"/>
      <c r="G9" s="367"/>
      <c r="H9" s="366"/>
      <c r="I9" s="366"/>
      <c r="J9" s="367"/>
      <c r="K9" s="366"/>
      <c r="L9" s="366"/>
      <c r="M9" s="366"/>
      <c r="N9" s="366"/>
      <c r="O9" s="357"/>
    </row>
    <row r="10">
      <c r="A10" s="366"/>
      <c r="B10" s="366"/>
      <c r="C10" s="366"/>
      <c r="D10" s="367"/>
      <c r="E10" s="366"/>
      <c r="F10" s="367"/>
      <c r="G10" s="367"/>
      <c r="H10" s="366"/>
      <c r="I10" s="366"/>
      <c r="J10" s="367"/>
      <c r="K10" s="366"/>
      <c r="L10" s="366"/>
      <c r="M10" s="366"/>
      <c r="N10" s="366"/>
      <c r="O10" s="358"/>
    </row>
    <row r="11">
      <c r="A11" s="366"/>
      <c r="B11" s="366"/>
      <c r="C11" s="366"/>
      <c r="D11" s="367"/>
      <c r="E11" s="366"/>
      <c r="F11" s="366"/>
      <c r="G11" s="367"/>
      <c r="H11" s="366"/>
      <c r="I11" s="366"/>
      <c r="J11" s="367"/>
      <c r="K11" s="366"/>
      <c r="L11" s="366"/>
      <c r="M11" s="366"/>
      <c r="N11" s="366"/>
      <c r="O11" s="358"/>
    </row>
    <row r="12">
      <c r="A12" s="366"/>
      <c r="B12" s="366"/>
      <c r="C12" s="366"/>
      <c r="D12" s="367"/>
      <c r="E12" s="366"/>
      <c r="F12" s="367"/>
      <c r="G12" s="367"/>
      <c r="H12" s="366"/>
      <c r="I12" s="366"/>
      <c r="J12" s="367"/>
      <c r="K12" s="366"/>
      <c r="L12" s="366"/>
      <c r="M12" s="366"/>
      <c r="N12" s="366"/>
      <c r="O12" s="358"/>
    </row>
    <row r="13">
      <c r="A13" s="366"/>
      <c r="B13" s="366"/>
      <c r="C13" s="366"/>
      <c r="D13" s="367"/>
      <c r="E13" s="366"/>
      <c r="F13" s="366"/>
      <c r="G13" s="367"/>
      <c r="H13" s="366"/>
      <c r="I13" s="366"/>
      <c r="J13" s="367"/>
      <c r="K13" s="366"/>
      <c r="L13" s="366"/>
      <c r="M13" s="366"/>
      <c r="N13" s="366"/>
      <c r="O13" s="358"/>
    </row>
    <row r="14">
      <c r="A14" s="366"/>
      <c r="B14" s="366"/>
      <c r="C14" s="366"/>
      <c r="D14" s="367"/>
      <c r="E14" s="366"/>
      <c r="F14" s="367"/>
      <c r="G14" s="367"/>
      <c r="H14" s="366"/>
      <c r="I14" s="366"/>
      <c r="J14" s="367"/>
      <c r="K14" s="366"/>
      <c r="L14" s="366"/>
      <c r="M14" s="366"/>
      <c r="N14" s="366"/>
      <c r="O14" s="358"/>
    </row>
    <row r="15" s="318" customFormat="1" ht="29.25" customHeight="1">
      <c r="A15" s="521"/>
      <c r="B15" s="521"/>
      <c r="C15" s="521"/>
      <c r="D15" s="381"/>
      <c r="E15" s="382"/>
      <c r="F15" s="382"/>
      <c r="G15" s="381"/>
      <c r="H15" s="382"/>
      <c r="I15" s="382"/>
      <c r="J15" s="381"/>
      <c r="K15" s="383"/>
      <c r="L15" s="383"/>
      <c r="M15" s="383"/>
      <c r="N15" s="383"/>
      <c r="O15" s="377"/>
      <c r="P15" s="354"/>
      <c r="Q15" s="354"/>
      <c r="R15" s="354"/>
      <c r="S15" s="354"/>
      <c r="T15" s="354"/>
      <c r="U15" s="354"/>
      <c r="V15" s="354"/>
    </row>
    <row r="16" s="318" customFormat="1">
      <c r="A16" s="368"/>
      <c r="B16" s="368"/>
      <c r="C16" s="368"/>
      <c r="D16" s="379"/>
      <c r="E16" s="368"/>
      <c r="F16" s="368"/>
      <c r="G16" s="379"/>
      <c r="H16" s="368"/>
      <c r="I16" s="368"/>
      <c r="J16" s="379"/>
      <c r="K16" s="368"/>
      <c r="L16" s="368"/>
      <c r="M16" s="368"/>
      <c r="N16" s="368"/>
      <c r="O16" s="358"/>
    </row>
    <row r="17">
      <c r="A17" s="369"/>
      <c r="B17" s="370"/>
      <c r="C17" s="369"/>
      <c r="D17" s="371"/>
      <c r="E17" s="372"/>
      <c r="F17" s="369"/>
      <c r="G17" s="371"/>
      <c r="H17" s="371"/>
      <c r="I17" s="371"/>
      <c r="J17" s="371"/>
      <c r="K17" s="369"/>
      <c r="L17" s="369"/>
      <c r="M17" s="373"/>
      <c r="N17" s="373"/>
    </row>
    <row r="18" ht="29.25">
      <c r="A18" s="366"/>
      <c r="B18" s="366"/>
      <c r="C18" s="366"/>
      <c r="D18" s="367"/>
      <c r="E18" s="366"/>
      <c r="F18" s="367"/>
      <c r="G18" s="367"/>
      <c r="H18" s="366"/>
      <c r="I18" s="366"/>
      <c r="J18" s="367"/>
      <c r="K18" s="366"/>
      <c r="L18" s="366"/>
      <c r="M18" s="366"/>
      <c r="N18" s="366"/>
      <c r="O18" s="357"/>
    </row>
    <row r="19">
      <c r="A19" s="366"/>
      <c r="B19" s="366"/>
      <c r="C19" s="366"/>
      <c r="D19" s="367"/>
      <c r="E19" s="366"/>
      <c r="F19" s="367"/>
      <c r="G19" s="367"/>
      <c r="H19" s="366"/>
      <c r="I19" s="366"/>
      <c r="J19" s="367"/>
      <c r="K19" s="366"/>
      <c r="L19" s="366"/>
      <c r="M19" s="366"/>
      <c r="N19" s="366"/>
      <c r="O19" s="357"/>
    </row>
    <row r="20">
      <c r="A20" s="366"/>
      <c r="B20" s="366"/>
      <c r="C20" s="366"/>
      <c r="D20" s="367"/>
      <c r="E20" s="366"/>
      <c r="F20" s="367"/>
      <c r="G20" s="367"/>
      <c r="H20" s="366"/>
      <c r="I20" s="366"/>
      <c r="J20" s="367"/>
      <c r="K20" s="366"/>
      <c r="L20" s="366"/>
      <c r="M20" s="366"/>
      <c r="N20" s="366"/>
      <c r="O20" s="357"/>
    </row>
    <row r="21" s="318" customFormat="1">
      <c r="A21" s="366"/>
      <c r="B21" s="366"/>
      <c r="C21" s="366"/>
      <c r="D21" s="367"/>
      <c r="E21" s="366"/>
      <c r="F21" s="367"/>
      <c r="G21" s="367"/>
      <c r="H21" s="366"/>
      <c r="I21" s="366"/>
      <c r="J21" s="367"/>
      <c r="K21" s="366"/>
      <c r="L21" s="366"/>
      <c r="M21" s="366"/>
      <c r="N21" s="366"/>
      <c r="O21" s="357"/>
      <c r="P21" s="308"/>
      <c r="Q21" s="308"/>
      <c r="R21" s="308"/>
      <c r="S21" s="308"/>
      <c r="T21" s="308"/>
      <c r="U21" s="308"/>
      <c r="V21" s="308"/>
    </row>
    <row r="22" s="318" customFormat="1" ht="29.25" customHeight="1">
      <c r="A22" s="521"/>
      <c r="B22" s="521"/>
      <c r="C22" s="521"/>
      <c r="D22" s="381"/>
      <c r="E22" s="382"/>
      <c r="F22" s="382"/>
      <c r="G22" s="381"/>
      <c r="H22" s="382"/>
      <c r="I22" s="382"/>
      <c r="J22" s="381"/>
      <c r="K22" s="383"/>
      <c r="L22" s="383"/>
      <c r="M22" s="383"/>
      <c r="N22" s="383"/>
      <c r="O22" s="377"/>
      <c r="P22" s="353"/>
      <c r="Q22" s="353"/>
      <c r="R22" s="353"/>
      <c r="S22" s="353"/>
      <c r="T22" s="353"/>
      <c r="U22" s="353"/>
      <c r="V22" s="353"/>
    </row>
    <row r="23" s="318" customFormat="1">
      <c r="A23" s="365"/>
      <c r="B23" s="365"/>
      <c r="C23" s="365"/>
      <c r="D23" s="380"/>
      <c r="E23" s="365"/>
      <c r="F23" s="365"/>
      <c r="G23" s="380"/>
      <c r="H23" s="365"/>
      <c r="I23" s="365"/>
      <c r="J23" s="380"/>
      <c r="K23" s="365"/>
      <c r="L23" s="365"/>
      <c r="M23" s="365"/>
      <c r="N23" s="365"/>
      <c r="O23" s="358"/>
    </row>
    <row r="24" s="318" customFormat="1">
      <c r="A24" s="369"/>
      <c r="B24" s="370"/>
      <c r="C24" s="369"/>
      <c r="D24" s="371"/>
      <c r="E24" s="372"/>
      <c r="F24" s="369"/>
      <c r="G24" s="371"/>
      <c r="H24" s="371"/>
      <c r="I24" s="371"/>
      <c r="J24" s="371"/>
      <c r="K24" s="369"/>
      <c r="L24" s="369"/>
      <c r="M24" s="369"/>
      <c r="N24" s="369"/>
      <c r="O24" s="311"/>
      <c r="P24" s="353"/>
      <c r="Q24" s="353"/>
      <c r="R24" s="353"/>
      <c r="S24" s="353"/>
      <c r="T24" s="353"/>
      <c r="U24" s="353"/>
      <c r="V24" s="353"/>
    </row>
    <row r="25" s="318" customFormat="1">
      <c r="A25" s="366"/>
      <c r="B25" s="366"/>
      <c r="C25" s="366"/>
      <c r="D25" s="367"/>
      <c r="E25" s="366"/>
      <c r="F25" s="367"/>
      <c r="G25" s="367"/>
      <c r="H25" s="366"/>
      <c r="I25" s="366"/>
      <c r="J25" s="367"/>
      <c r="K25" s="366"/>
      <c r="L25" s="366"/>
      <c r="M25" s="366"/>
      <c r="N25" s="366"/>
      <c r="O25" s="357"/>
      <c r="P25" s="353"/>
      <c r="Q25" s="353"/>
      <c r="R25" s="353"/>
      <c r="S25" s="353"/>
      <c r="T25" s="353"/>
      <c r="U25" s="353"/>
      <c r="V25" s="353"/>
    </row>
    <row r="26" s="318" customFormat="1">
      <c r="A26" s="388"/>
      <c r="B26" s="384"/>
      <c r="C26" s="384"/>
      <c r="D26" s="385"/>
      <c r="E26" s="386"/>
      <c r="F26" s="387"/>
      <c r="G26" s="385"/>
      <c r="H26" s="386"/>
      <c r="I26" s="386"/>
      <c r="J26" s="385"/>
      <c r="K26" s="386"/>
      <c r="L26" s="386"/>
      <c r="M26" s="386"/>
      <c r="N26" s="386"/>
      <c r="O26" s="357"/>
      <c r="P26" s="353"/>
      <c r="Q26" s="353"/>
      <c r="R26" s="353"/>
      <c r="S26" s="353"/>
      <c r="T26" s="353"/>
      <c r="U26" s="353"/>
      <c r="V26" s="353"/>
    </row>
    <row r="27" s="318" customFormat="1" ht="27.95" customHeight="1">
      <c r="A27" s="523"/>
      <c r="B27" s="523"/>
      <c r="C27" s="523"/>
      <c r="D27" s="378"/>
      <c r="E27" s="375"/>
      <c r="F27" s="375"/>
      <c r="G27" s="378"/>
      <c r="H27" s="375"/>
      <c r="I27" s="375"/>
      <c r="J27" s="378"/>
      <c r="K27" s="376"/>
      <c r="L27" s="376"/>
      <c r="M27" s="376"/>
      <c r="N27" s="376"/>
      <c r="O27" s="377"/>
      <c r="P27" s="353"/>
      <c r="Q27" s="353"/>
      <c r="R27" s="353"/>
      <c r="S27" s="353"/>
      <c r="T27" s="353"/>
      <c r="U27" s="353"/>
      <c r="V27" s="353"/>
    </row>
    <row r="28" s="318" customFormat="1">
      <c r="A28" s="368"/>
      <c r="B28" s="368"/>
      <c r="C28" s="368"/>
      <c r="D28" s="379"/>
      <c r="E28" s="368"/>
      <c r="F28" s="368"/>
      <c r="G28" s="379"/>
      <c r="H28" s="368"/>
      <c r="I28" s="368"/>
      <c r="J28" s="379"/>
      <c r="K28" s="368"/>
      <c r="L28" s="368"/>
      <c r="M28" s="368"/>
      <c r="N28" s="368"/>
      <c r="O28" s="357"/>
      <c r="P28" s="308"/>
      <c r="Q28" s="308"/>
      <c r="R28" s="308"/>
      <c r="S28" s="308"/>
      <c r="T28" s="308"/>
      <c r="U28" s="308"/>
      <c r="V28" s="308"/>
    </row>
    <row r="29" s="318" customFormat="1">
      <c r="A29" s="369"/>
      <c r="B29" s="370"/>
      <c r="C29" s="369"/>
      <c r="D29" s="371"/>
      <c r="E29" s="372"/>
      <c r="F29" s="369"/>
      <c r="G29" s="371"/>
      <c r="H29" s="371"/>
      <c r="I29" s="371"/>
      <c r="J29" s="371"/>
      <c r="K29" s="369"/>
      <c r="L29" s="369"/>
      <c r="M29" s="373"/>
      <c r="N29" s="373"/>
      <c r="O29" s="311"/>
      <c r="P29" s="308"/>
      <c r="Q29" s="308"/>
      <c r="R29" s="308"/>
      <c r="S29" s="308"/>
      <c r="T29" s="308"/>
      <c r="U29" s="308"/>
      <c r="V29" s="308"/>
    </row>
    <row r="30" s="318" customFormat="1">
      <c r="A30" s="366"/>
      <c r="B30" s="366"/>
      <c r="C30" s="366"/>
      <c r="D30" s="367"/>
      <c r="E30" s="366"/>
      <c r="F30" s="367"/>
      <c r="G30" s="367"/>
      <c r="H30" s="366"/>
      <c r="I30" s="366"/>
      <c r="J30" s="367"/>
      <c r="K30" s="366"/>
      <c r="L30" s="366"/>
      <c r="M30" s="366"/>
      <c r="N30" s="366"/>
      <c r="O30" s="357"/>
      <c r="P30" s="308"/>
      <c r="Q30" s="308"/>
      <c r="R30" s="308"/>
      <c r="S30" s="308"/>
      <c r="T30" s="308"/>
      <c r="U30" s="308"/>
      <c r="V30" s="308"/>
    </row>
    <row r="31" s="318" customFormat="1">
      <c r="A31" s="366"/>
      <c r="B31" s="366"/>
      <c r="C31" s="366"/>
      <c r="D31" s="367"/>
      <c r="E31" s="366"/>
      <c r="F31" s="367"/>
      <c r="G31" s="367"/>
      <c r="H31" s="366"/>
      <c r="I31" s="366"/>
      <c r="J31" s="367"/>
      <c r="K31" s="366"/>
      <c r="L31" s="366"/>
      <c r="M31" s="366"/>
      <c r="N31" s="366"/>
      <c r="O31" s="357"/>
      <c r="P31" s="308"/>
      <c r="Q31" s="308"/>
      <c r="R31" s="308"/>
      <c r="S31" s="308"/>
      <c r="T31" s="308"/>
      <c r="U31" s="308"/>
      <c r="V31" s="308"/>
    </row>
    <row r="32" s="318" customFormat="1" ht="16.5" customHeight="1">
      <c r="A32" s="521"/>
      <c r="B32" s="521"/>
      <c r="C32" s="521"/>
      <c r="D32" s="381"/>
      <c r="E32" s="382"/>
      <c r="F32" s="382"/>
      <c r="G32" s="381"/>
      <c r="H32" s="382"/>
      <c r="I32" s="382"/>
      <c r="J32" s="381"/>
      <c r="K32" s="383"/>
      <c r="L32" s="383"/>
      <c r="M32" s="383"/>
      <c r="N32" s="383"/>
      <c r="O32" s="377"/>
      <c r="P32" s="339"/>
      <c r="Q32" s="339"/>
      <c r="R32" s="339"/>
      <c r="S32" s="339"/>
      <c r="T32" s="339"/>
      <c r="U32" s="339"/>
      <c r="V32" s="339"/>
    </row>
    <row r="33" s="318" customFormat="1" ht="15.75" customHeight="1">
      <c r="A33" s="368"/>
      <c r="B33" s="368"/>
      <c r="C33" s="368"/>
      <c r="D33" s="379"/>
      <c r="E33" s="368"/>
      <c r="F33" s="368"/>
      <c r="G33" s="379"/>
      <c r="H33" s="368"/>
      <c r="I33" s="368"/>
      <c r="J33" s="379"/>
      <c r="K33" s="368"/>
      <c r="L33" s="368"/>
      <c r="M33" s="368"/>
      <c r="N33" s="368"/>
      <c r="O33" s="357"/>
      <c r="P33" s="308"/>
      <c r="Q33" s="308"/>
      <c r="R33" s="308"/>
      <c r="S33" s="308"/>
      <c r="T33" s="308"/>
      <c r="U33" s="308"/>
      <c r="V33" s="308"/>
    </row>
    <row r="34" s="313" customFormat="1" ht="15.75" customHeight="1">
      <c r="A34" s="522"/>
      <c r="B34" s="522"/>
      <c r="C34" s="522"/>
      <c r="D34" s="374"/>
      <c r="E34" s="364"/>
      <c r="F34" s="374"/>
      <c r="G34" s="374"/>
      <c r="H34" s="374"/>
      <c r="I34" s="374"/>
      <c r="J34" s="374"/>
      <c r="K34" s="364"/>
      <c r="L34" s="364"/>
      <c r="M34" s="364"/>
      <c r="N34" s="364"/>
      <c r="O34" s="341"/>
      <c r="P34" s="340"/>
      <c r="Q34" s="340"/>
      <c r="R34" s="340"/>
      <c r="S34" s="340"/>
      <c r="T34" s="340"/>
      <c r="U34" s="340"/>
      <c r="V34" s="340"/>
    </row>
    <row r="35" s="313" customFormat="1" ht="15.75" customHeight="1">
      <c r="A35" s="337"/>
      <c r="B35" s="337"/>
      <c r="C35" s="337"/>
      <c r="D35" s="338"/>
      <c r="E35" s="337"/>
      <c r="F35" s="337"/>
      <c r="G35" s="338"/>
      <c r="H35" s="337"/>
      <c r="I35" s="337"/>
      <c r="J35" s="338"/>
      <c r="K35" s="337"/>
      <c r="L35" s="337"/>
      <c r="M35" s="337"/>
      <c r="N35" s="337"/>
      <c r="O35" s="315"/>
      <c r="P35" s="314"/>
      <c r="Q35" s="314"/>
      <c r="R35" s="314"/>
      <c r="S35" s="314"/>
      <c r="T35" s="314"/>
      <c r="U35" s="314"/>
      <c r="V35" s="314"/>
    </row>
    <row r="36" s="313" customFormat="1" ht="15.75" customHeight="1">
      <c r="A36" s="314"/>
      <c r="B36" s="342"/>
      <c r="C36" s="314"/>
      <c r="D36" s="315"/>
      <c r="E36" s="315"/>
      <c r="F36" s="315"/>
      <c r="G36" s="315"/>
      <c r="H36" s="314"/>
      <c r="I36" s="314"/>
      <c r="J36" s="315"/>
      <c r="K36" s="314"/>
      <c r="L36" s="317"/>
      <c r="M36" s="314"/>
      <c r="N36" s="314"/>
      <c r="O36" s="315"/>
      <c r="P36" s="314"/>
      <c r="Q36" s="314"/>
      <c r="R36" s="314"/>
      <c r="S36" s="314"/>
      <c r="T36" s="314"/>
      <c r="U36" s="314"/>
      <c r="V36" s="314"/>
    </row>
    <row r="37" s="313" customFormat="1" ht="15.75" customHeight="1">
      <c r="A37" s="314"/>
      <c r="B37" s="314"/>
      <c r="C37" s="314"/>
      <c r="D37" s="315"/>
      <c r="E37" s="315"/>
      <c r="F37" s="314"/>
      <c r="G37" s="315"/>
      <c r="H37" s="315"/>
      <c r="I37" s="314"/>
      <c r="J37" s="315"/>
      <c r="K37" s="315"/>
      <c r="L37" s="317"/>
      <c r="M37" s="314"/>
      <c r="N37" s="314"/>
      <c r="O37" s="315"/>
      <c r="P37" s="314"/>
      <c r="Q37" s="314"/>
      <c r="R37" s="314"/>
      <c r="S37" s="314"/>
      <c r="T37" s="314"/>
      <c r="U37" s="314"/>
      <c r="V37" s="314"/>
    </row>
    <row r="38" s="313" customFormat="1" ht="15.75" customHeight="1">
      <c r="A38" s="343"/>
      <c r="B38" s="343"/>
      <c r="C38" s="343"/>
      <c r="D38" s="344"/>
      <c r="E38" s="345"/>
      <c r="F38" s="346"/>
      <c r="G38" s="344"/>
      <c r="H38" s="344"/>
      <c r="I38" s="344"/>
      <c r="J38" s="344"/>
      <c r="K38" s="344"/>
      <c r="L38" s="345"/>
      <c r="M38" s="314"/>
      <c r="N38" s="314"/>
      <c r="O38" s="345"/>
      <c r="P38" s="314"/>
      <c r="Q38" s="314"/>
      <c r="R38" s="314"/>
      <c r="S38" s="314"/>
      <c r="T38" s="314"/>
      <c r="U38" s="314"/>
      <c r="V38" s="314"/>
    </row>
    <row r="39" s="314" customFormat="1" ht="15.75" customHeight="1">
      <c r="A39" s="314"/>
      <c r="B39" s="314"/>
      <c r="C39" s="314"/>
      <c r="D39" s="315"/>
      <c r="E39" s="317"/>
      <c r="F39" s="317"/>
      <c r="G39" s="315"/>
      <c r="I39" s="314"/>
      <c r="J39" s="315"/>
      <c r="K39" s="314"/>
      <c r="L39" s="317"/>
      <c r="M39" s="314"/>
      <c r="N39" s="314"/>
      <c r="O39" s="315"/>
      <c r="P39" s="314"/>
      <c r="Q39" s="314"/>
      <c r="R39" s="314"/>
    </row>
    <row r="40" s="314" customFormat="1" ht="15.75" customHeight="1">
      <c r="A40" s="347"/>
      <c r="B40" s="347"/>
      <c r="C40" s="347"/>
      <c r="D40" s="348"/>
      <c r="E40" s="349"/>
      <c r="F40" s="350"/>
      <c r="G40" s="348"/>
      <c r="H40" s="347"/>
      <c r="I40" s="347"/>
      <c r="J40" s="348"/>
      <c r="K40" s="347"/>
      <c r="L40" s="349"/>
      <c r="M40" s="314"/>
      <c r="N40" s="314"/>
      <c r="O40" s="348"/>
      <c r="P40" s="314"/>
      <c r="Q40" s="314"/>
      <c r="R40" s="314"/>
    </row>
    <row r="41" s="314" customFormat="1" ht="15.75" customHeight="1">
      <c r="D41" s="315"/>
      <c r="E41" s="317"/>
      <c r="G41" s="315"/>
      <c r="J41" s="315"/>
      <c r="L41" s="317"/>
      <c r="M41" s="317"/>
      <c r="O41" s="315"/>
    </row>
    <row r="42" s="314" customFormat="1" ht="15.75" customHeight="1">
      <c r="D42" s="315"/>
      <c r="E42" s="317"/>
      <c r="G42" s="315"/>
      <c r="J42" s="315"/>
      <c r="L42" s="317"/>
      <c r="M42" s="317"/>
      <c r="O42" s="315"/>
    </row>
    <row r="43" s="314" customFormat="1" ht="15.75" customHeight="1">
      <c r="D43" s="315"/>
      <c r="E43" s="317"/>
      <c r="G43" s="315"/>
      <c r="J43" s="315"/>
      <c r="L43" s="317"/>
      <c r="M43" s="317"/>
      <c r="O43" s="315"/>
    </row>
    <row r="44" s="314" customFormat="1" ht="15.75" customHeight="1">
      <c r="D44" s="315"/>
      <c r="E44" s="317"/>
      <c r="F44" s="317"/>
      <c r="G44" s="315"/>
      <c r="J44" s="315"/>
      <c r="K44" s="351"/>
      <c r="L44" s="317"/>
      <c r="M44" s="317"/>
      <c r="O44" s="315"/>
    </row>
    <row r="45" s="314" customFormat="1" ht="15.75" customHeight="1">
      <c r="D45" s="315"/>
      <c r="E45" s="317"/>
      <c r="F45" s="317"/>
      <c r="G45" s="315"/>
      <c r="H45" s="351"/>
      <c r="I45" s="351"/>
      <c r="J45" s="315"/>
      <c r="K45" s="351"/>
      <c r="L45" s="317"/>
      <c r="M45" s="317"/>
      <c r="O45" s="315"/>
    </row>
    <row r="46" s="314" customFormat="1" ht="15.75" customHeight="1">
      <c r="D46" s="315"/>
      <c r="E46" s="317"/>
      <c r="F46" s="317"/>
      <c r="G46" s="315"/>
      <c r="H46" s="351"/>
      <c r="I46" s="351"/>
      <c r="J46" s="315"/>
      <c r="K46" s="351"/>
      <c r="L46" s="317"/>
      <c r="M46" s="317"/>
      <c r="O46" s="315"/>
    </row>
    <row r="47" s="314" customFormat="1" ht="15.75" customHeight="1">
      <c r="D47" s="315"/>
      <c r="E47" s="317"/>
      <c r="F47" s="317"/>
      <c r="G47" s="315"/>
      <c r="H47" s="351"/>
      <c r="I47" s="351"/>
      <c r="J47" s="315"/>
      <c r="K47" s="351"/>
      <c r="L47" s="317"/>
      <c r="M47" s="317"/>
      <c r="O47" s="315"/>
    </row>
    <row r="48" s="314" customFormat="1" ht="15.75" customHeight="1">
      <c r="D48" s="315"/>
      <c r="E48" s="317"/>
      <c r="F48" s="317"/>
      <c r="G48" s="315"/>
      <c r="H48" s="351"/>
      <c r="I48" s="351"/>
      <c r="J48" s="315"/>
      <c r="K48" s="351"/>
      <c r="L48" s="317"/>
      <c r="M48" s="317"/>
      <c r="O48" s="315"/>
    </row>
    <row r="49" s="314" customFormat="1" ht="15.75" customHeight="1">
      <c r="D49" s="315"/>
      <c r="E49" s="317"/>
      <c r="F49" s="317"/>
      <c r="G49" s="315"/>
      <c r="H49" s="352"/>
      <c r="I49" s="351"/>
      <c r="J49" s="315"/>
      <c r="K49" s="351"/>
      <c r="L49" s="317"/>
      <c r="M49" s="317"/>
      <c r="O49" s="315"/>
    </row>
    <row r="51" ht="15.75" customHeight="1">
      <c r="H51" s="309"/>
      <c r="I51" s="309"/>
      <c r="K51" s="309"/>
    </row>
  </sheetData>
  <mergeCells count="5">
    <mergeCell ref="A32:C32"/>
    <mergeCell ref="A34:C34"/>
    <mergeCell ref="A15:C15"/>
    <mergeCell ref="A22:C22"/>
    <mergeCell ref="A27:C27"/>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G162"/>
  <sheetViews>
    <sheetView topLeftCell="A17" zoomScaleNormal="100" workbookViewId="0">
      <selection activeCell="O14" sqref="O14"/>
    </sheetView>
  </sheetViews>
  <sheetFormatPr defaultColWidth="8.85546875" defaultRowHeight="14.45"/>
  <cols>
    <col min="1" max="1" width="2" style="3" customWidth="1"/>
    <col min="2" max="2" width="4.42578125" style="3" customWidth="1"/>
    <col min="3" max="3" width="16.42578125" style="3" customWidth="1"/>
    <col min="4" max="4" width="3.85546875" style="3" customWidth="1"/>
    <col min="5" max="5" width="28.7109375" style="3" customWidth="1"/>
    <col min="6" max="6" width="4.7109375" style="3" customWidth="1"/>
    <col min="7" max="7" width="18.85546875" style="3" customWidth="1"/>
    <col min="8" max="8" width="4.7109375" style="4" customWidth="1"/>
    <col min="9" max="9" width="21.7109375" style="4" customWidth="1"/>
    <col min="10" max="10" width="4.7109375" style="4" customWidth="1"/>
    <col min="11" max="11" width="20.140625" style="3" customWidth="1"/>
    <col min="12" max="12" width="4.7109375" style="4" customWidth="1"/>
    <col min="13" max="13" width="19.42578125" style="3" customWidth="1"/>
    <col min="14" max="14" width="5.28515625" style="4" customWidth="1"/>
    <col min="15" max="15" width="20.7109375" style="3" customWidth="1"/>
    <col min="16" max="16" width="4.7109375" style="261" customWidth="1"/>
    <col min="17" max="17" width="8.85546875" style="261" customWidth="1"/>
    <col min="18" max="18" width="10.42578125" style="265" customWidth="1"/>
    <col min="19" max="19" width="10.85546875" style="261" customWidth="1"/>
    <col min="20" max="20" width="8.85546875" style="261" customWidth="1"/>
    <col min="21" max="21" width="14.85546875" style="261" customWidth="1"/>
    <col min="22" max="28" width="8.85546875" style="261" customWidth="1"/>
    <col min="29" max="29" width="14.42578125" style="16" bestFit="1" customWidth="1"/>
    <col min="30" max="30" width="19.42578125" style="3" customWidth="1"/>
    <col min="31" max="31" width="8.85546875" style="3"/>
    <col min="32" max="32" width="20.42578125" style="3" customWidth="1"/>
    <col min="33" max="16384" width="8.85546875" style="3"/>
  </cols>
  <sheetData>
    <row r="1">
      <c r="A1" s="38"/>
    </row>
    <row r="2" ht="81.95" customHeight="1">
      <c r="B2" s="538"/>
      <c r="C2" s="539"/>
      <c r="D2" s="539"/>
      <c r="E2" s="539"/>
      <c r="F2" s="540"/>
      <c r="G2" s="540"/>
      <c r="H2" s="540"/>
      <c r="I2" s="540"/>
      <c r="J2" s="540"/>
      <c r="K2" s="540"/>
      <c r="L2" s="540"/>
      <c r="M2" s="540"/>
      <c r="N2" s="540"/>
      <c r="O2" s="540"/>
      <c r="P2" s="541"/>
    </row>
    <row r="3" ht="9.4" customHeight="1"/>
    <row r="4" ht="21" customHeight="1">
      <c r="B4" s="500" t="s">
        <v>118</v>
      </c>
      <c r="C4" s="500"/>
      <c r="D4" s="500"/>
      <c r="E4" s="500"/>
      <c r="F4" s="500"/>
      <c r="G4" s="500"/>
      <c r="H4" s="500"/>
      <c r="I4" s="500"/>
      <c r="J4" s="500"/>
      <c r="K4" s="500"/>
      <c r="L4" s="500"/>
      <c r="M4" s="156" t="s">
        <v>302</v>
      </c>
      <c r="N4" s="543">
        <f>'Portfolio Journey'!G2</f>
      </c>
      <c r="O4" s="544"/>
      <c r="P4" s="545"/>
      <c r="AC4" s="184"/>
    </row>
    <row r="5" ht="9.6" customHeight="1">
      <c r="C5" s="45"/>
      <c r="D5" s="46"/>
      <c r="E5" s="46"/>
    </row>
    <row r="6" ht="14.1" customHeight="1">
      <c r="B6" s="47"/>
      <c r="C6" s="48"/>
      <c r="D6" s="49"/>
      <c r="E6" s="49"/>
      <c r="F6" s="5"/>
      <c r="G6" s="5"/>
      <c r="H6" s="6"/>
      <c r="I6" s="6"/>
      <c r="J6" s="6"/>
      <c r="K6" s="5"/>
      <c r="L6" s="6"/>
      <c r="M6" s="5"/>
      <c r="N6" s="6"/>
      <c r="O6" s="5"/>
      <c r="P6" s="262"/>
    </row>
    <row r="7" ht="21" customHeight="1">
      <c r="B7" s="51"/>
      <c r="C7" s="506" t="s">
        <v>119</v>
      </c>
      <c r="D7" s="506"/>
      <c r="E7" s="506"/>
      <c r="F7" s="65"/>
      <c r="G7" s="175" t="s">
        <v>120</v>
      </c>
      <c r="H7" s="175"/>
      <c r="I7" s="506" t="s">
        <v>121</v>
      </c>
      <c r="J7" s="506"/>
      <c r="K7" s="506"/>
      <c r="L7" s="176"/>
      <c r="M7" s="542" t="s">
        <v>124</v>
      </c>
      <c r="N7" s="542"/>
      <c r="O7" s="542"/>
      <c r="P7" s="263"/>
    </row>
    <row r="8" ht="21" customHeight="1">
      <c r="B8" s="51"/>
      <c r="C8" s="546">
        <f>'1'!$D$17</f>
      </c>
      <c r="D8" s="546"/>
      <c r="E8" s="546"/>
      <c r="F8" s="65"/>
      <c r="G8" s="177"/>
      <c r="H8" s="178"/>
      <c r="I8" s="548"/>
      <c r="J8" s="547"/>
      <c r="K8" s="547"/>
      <c r="L8" s="176"/>
      <c r="M8" s="547"/>
      <c r="N8" s="547"/>
      <c r="O8" s="547"/>
      <c r="P8" s="263"/>
      <c r="AA8" s="265">
        <f>YEAR('Portfolio Journey'!G2)</f>
      </c>
    </row>
    <row r="9" ht="11.1" customHeight="1">
      <c r="B9" s="51"/>
      <c r="C9" s="45"/>
      <c r="D9" s="46"/>
      <c r="E9" s="46"/>
      <c r="F9" s="65"/>
      <c r="G9" s="65"/>
      <c r="H9" s="176"/>
      <c r="I9" s="176"/>
      <c r="J9" s="176"/>
      <c r="K9" s="65"/>
      <c r="L9" s="176"/>
      <c r="M9" s="65"/>
      <c r="N9" s="176"/>
      <c r="O9" s="65"/>
      <c r="P9" s="263"/>
    </row>
    <row r="10" ht="21" customHeight="1">
      <c r="B10" s="51"/>
      <c r="C10" s="506" t="s">
        <v>122</v>
      </c>
      <c r="D10" s="506"/>
      <c r="E10" s="506"/>
      <c r="F10" s="65"/>
      <c r="G10" s="175" t="s">
        <v>123</v>
      </c>
      <c r="H10" s="175"/>
      <c r="I10" s="175" t="s">
        <v>125</v>
      </c>
      <c r="J10" s="175"/>
      <c r="K10" s="175" t="s">
        <v>126</v>
      </c>
      <c r="L10" s="176"/>
      <c r="M10" s="542" t="s">
        <v>127</v>
      </c>
      <c r="N10" s="542"/>
      <c r="O10" s="542"/>
      <c r="P10" s="263"/>
    </row>
    <row r="11" ht="21" customHeight="1">
      <c r="B11" s="51"/>
      <c r="C11" s="549"/>
      <c r="D11" s="550"/>
      <c r="E11" s="550"/>
      <c r="F11" s="65"/>
      <c r="G11" s="183">
        <f>IF(C11="","",DATEDIF(C11,TODAY(),"Y"))</f>
      </c>
      <c r="H11" s="178"/>
      <c r="I11" s="287"/>
      <c r="J11" s="93"/>
      <c r="K11" s="287"/>
      <c r="L11" s="176"/>
      <c r="M11" s="547"/>
      <c r="N11" s="547"/>
      <c r="O11" s="547"/>
      <c r="P11" s="263"/>
    </row>
    <row r="12" ht="14.1" customHeight="1">
      <c r="B12" s="53"/>
      <c r="C12" s="7"/>
      <c r="D12" s="7"/>
      <c r="E12" s="7"/>
      <c r="F12" s="7"/>
      <c r="G12" s="7"/>
      <c r="H12" s="8"/>
      <c r="I12" s="8"/>
      <c r="J12" s="8"/>
      <c r="K12" s="7"/>
      <c r="L12" s="8"/>
      <c r="M12" s="7"/>
      <c r="N12" s="8"/>
      <c r="O12" s="7"/>
      <c r="P12" s="264"/>
    </row>
    <row r="14" ht="37.15" customHeight="1">
      <c r="B14" s="551" t="s">
        <v>307</v>
      </c>
      <c r="C14" s="552"/>
      <c r="D14" s="552"/>
      <c r="E14" s="552"/>
      <c r="F14" s="552"/>
      <c r="G14" s="552"/>
      <c r="H14" s="552"/>
      <c r="I14" s="552"/>
      <c r="J14" s="552"/>
      <c r="K14" s="552"/>
      <c r="L14" s="552"/>
      <c r="M14" s="552"/>
      <c r="N14" s="147"/>
      <c r="O14" s="146">
        <v>10</v>
      </c>
      <c r="P14" s="267"/>
      <c r="S14" s="266"/>
    </row>
    <row r="15">
      <c r="S15" s="266"/>
    </row>
    <row r="16" ht="21" customHeight="1">
      <c r="B16" s="500" t="s">
        <v>129</v>
      </c>
      <c r="C16" s="500"/>
      <c r="D16" s="500"/>
      <c r="E16" s="500"/>
      <c r="F16" s="500"/>
      <c r="G16" s="500"/>
      <c r="H16" s="500"/>
      <c r="I16" s="500"/>
      <c r="J16" s="500"/>
      <c r="K16" s="500"/>
      <c r="L16" s="500"/>
      <c r="M16" s="500"/>
      <c r="N16" s="500"/>
      <c r="O16" s="500"/>
      <c r="P16" s="500"/>
      <c r="S16" s="266"/>
    </row>
    <row r="17" ht="18.95" customHeight="1">
      <c r="B17" s="56" t="s">
        <v>308</v>
      </c>
      <c r="C17" s="43"/>
      <c r="D17" s="43"/>
      <c r="E17" s="43"/>
      <c r="F17" s="43"/>
      <c r="G17" s="43"/>
      <c r="H17" s="43"/>
      <c r="I17" s="43"/>
      <c r="J17" s="43"/>
      <c r="K17" s="186"/>
      <c r="L17" s="43"/>
      <c r="M17" s="43"/>
      <c r="N17" s="43"/>
      <c r="O17" s="43"/>
      <c r="S17" s="266"/>
    </row>
    <row r="18" ht="9.4" customHeight="1">
      <c r="C18" s="43"/>
      <c r="D18" s="43"/>
      <c r="E18" s="43"/>
      <c r="F18" s="43"/>
      <c r="G18" s="43"/>
      <c r="H18" s="43"/>
      <c r="I18" s="259"/>
      <c r="J18" s="43"/>
      <c r="K18" s="43"/>
      <c r="L18" s="43"/>
      <c r="M18" s="43"/>
      <c r="N18" s="43"/>
      <c r="O18" s="43"/>
      <c r="S18" s="266"/>
    </row>
    <row r="19" ht="24.4" customHeight="1">
      <c r="B19" s="47"/>
      <c r="C19" s="491" t="s">
        <v>309</v>
      </c>
      <c r="D19" s="510"/>
      <c r="E19" s="489" t="s">
        <v>310</v>
      </c>
      <c r="F19" s="553"/>
      <c r="G19" s="491" t="s">
        <v>311</v>
      </c>
      <c r="H19" s="553"/>
      <c r="I19" s="491" t="s">
        <v>312</v>
      </c>
      <c r="J19" s="491"/>
      <c r="K19" s="491"/>
      <c r="L19" s="491"/>
      <c r="M19" s="491"/>
      <c r="N19" s="491"/>
      <c r="O19" s="491"/>
      <c r="P19" s="262"/>
    </row>
    <row r="20" ht="32.1" customHeight="1">
      <c r="B20" s="51"/>
      <c r="C20" s="492"/>
      <c r="D20" s="533"/>
      <c r="E20" s="490"/>
      <c r="F20" s="554"/>
      <c r="G20" s="492"/>
      <c r="H20" s="554"/>
      <c r="I20" s="492"/>
      <c r="J20" s="492"/>
      <c r="K20" s="492"/>
      <c r="L20" s="492"/>
      <c r="M20" s="492"/>
      <c r="N20" s="492"/>
      <c r="O20" s="492"/>
      <c r="P20" s="263"/>
    </row>
    <row r="21" ht="7.15" customHeight="1">
      <c r="B21" s="51"/>
      <c r="F21" s="4"/>
      <c r="G21" s="62"/>
      <c r="M21" s="260"/>
      <c r="N21" s="260"/>
      <c r="O21" s="260"/>
      <c r="P21" s="268"/>
    </row>
    <row r="22" ht="4.5" customHeight="1">
      <c r="B22" s="51"/>
      <c r="F22" s="4"/>
      <c r="M22" s="4"/>
      <c r="P22" s="263"/>
    </row>
    <row r="23" ht="45" customHeight="1">
      <c r="B23" s="51"/>
      <c r="C23" s="103" t="s">
        <v>139</v>
      </c>
      <c r="E23" s="104" t="s">
        <v>140</v>
      </c>
      <c r="F23" s="4"/>
      <c r="G23" s="105">
        <v>10000000</v>
      </c>
      <c r="I23" s="524" t="s">
        <v>313</v>
      </c>
      <c r="J23" s="524"/>
      <c r="K23" s="524"/>
      <c r="L23" s="524"/>
      <c r="M23" s="524"/>
      <c r="N23" s="524"/>
      <c r="O23" s="524"/>
      <c r="P23" s="263"/>
      <c r="R23" s="277">
        <f>PV(6%,O$14,,-#REF!,0)</f>
      </c>
      <c r="S23" s="258">
        <f>ROUNDUP(R23,-3)</f>
      </c>
      <c r="U23" s="266">
        <f>(#REF!*12)/G23</f>
      </c>
    </row>
    <row r="24">
      <c r="B24" s="51"/>
      <c r="C24" s="64"/>
      <c r="E24" s="65"/>
      <c r="F24" s="4"/>
      <c r="G24" s="65"/>
      <c r="I24" s="65"/>
      <c r="K24" s="65"/>
      <c r="M24" s="280"/>
      <c r="N24" s="281"/>
      <c r="O24" s="281"/>
      <c r="P24" s="263"/>
      <c r="U24" s="266"/>
    </row>
    <row r="25" ht="45" customHeight="1">
      <c r="B25" s="51"/>
      <c r="C25" s="148" t="s">
        <v>141</v>
      </c>
      <c r="E25" s="149" t="s">
        <v>142</v>
      </c>
      <c r="F25" s="4"/>
      <c r="G25" s="150">
        <v>20000000</v>
      </c>
      <c r="I25" s="525" t="s">
        <v>314</v>
      </c>
      <c r="J25" s="525"/>
      <c r="K25" s="525"/>
      <c r="L25" s="525"/>
      <c r="M25" s="525"/>
      <c r="N25" s="525"/>
      <c r="O25" s="525"/>
      <c r="P25" s="263"/>
      <c r="R25" s="277">
        <f>PV(6%,O$14,,-#REF!,0)</f>
      </c>
      <c r="S25" s="258">
        <f>ROUNDUP(R25,-3)</f>
      </c>
      <c r="U25" s="266">
        <f>(#REF!*12)/G25</f>
      </c>
    </row>
    <row r="26">
      <c r="B26" s="51"/>
      <c r="C26" s="64"/>
      <c r="E26" s="65"/>
      <c r="F26" s="4"/>
      <c r="G26" s="65"/>
      <c r="I26" s="65"/>
      <c r="K26" s="65"/>
      <c r="M26" s="280"/>
      <c r="N26" s="281"/>
      <c r="O26" s="281"/>
      <c r="P26" s="263"/>
      <c r="U26" s="266"/>
    </row>
    <row r="27" ht="45" customHeight="1">
      <c r="B27" s="51"/>
      <c r="C27" s="136" t="s">
        <v>143</v>
      </c>
      <c r="E27" s="137" t="s">
        <v>144</v>
      </c>
      <c r="F27" s="4"/>
      <c r="G27" s="138">
        <v>40000000</v>
      </c>
      <c r="I27" s="526" t="s">
        <v>315</v>
      </c>
      <c r="J27" s="526"/>
      <c r="K27" s="526"/>
      <c r="L27" s="526"/>
      <c r="M27" s="526"/>
      <c r="N27" s="526"/>
      <c r="O27" s="526"/>
      <c r="P27" s="263"/>
      <c r="R27" s="277">
        <f>PV(6%,O$14,,-#REF!,0)</f>
      </c>
      <c r="S27" s="258">
        <f>ROUNDUP(R27,-3)</f>
      </c>
      <c r="U27" s="266">
        <f>(#REF!*12)/G27</f>
      </c>
    </row>
    <row r="28">
      <c r="B28" s="51"/>
      <c r="C28" s="64"/>
      <c r="E28" s="65"/>
      <c r="F28" s="4"/>
      <c r="G28" s="65"/>
      <c r="I28" s="65"/>
      <c r="K28" s="65"/>
      <c r="M28" s="280"/>
      <c r="N28" s="281"/>
      <c r="O28" s="281"/>
      <c r="P28" s="263"/>
      <c r="U28" s="266"/>
    </row>
    <row r="29" ht="45" customHeight="1">
      <c r="B29" s="51"/>
      <c r="C29" s="151" t="s">
        <v>145</v>
      </c>
      <c r="E29" s="152" t="s">
        <v>146</v>
      </c>
      <c r="F29" s="4"/>
      <c r="G29" s="153">
        <v>80000000</v>
      </c>
      <c r="I29" s="527" t="s">
        <v>316</v>
      </c>
      <c r="J29" s="527"/>
      <c r="K29" s="527"/>
      <c r="L29" s="527"/>
      <c r="M29" s="527"/>
      <c r="N29" s="527"/>
      <c r="O29" s="527"/>
      <c r="P29" s="263"/>
      <c r="R29" s="277">
        <f>PV(6%,O$14,,-#REF!,0)</f>
      </c>
      <c r="S29" s="258">
        <f>ROUNDUP(R29,-3)</f>
      </c>
      <c r="U29" s="266">
        <f>(#REF!*12)/G29</f>
      </c>
    </row>
    <row r="30" ht="21" customHeight="1">
      <c r="B30" s="51"/>
      <c r="C30" s="101"/>
      <c r="D30" s="16"/>
      <c r="E30" s="102"/>
      <c r="F30" s="16"/>
      <c r="G30" s="75"/>
      <c r="H30" s="16"/>
      <c r="I30" s="75"/>
      <c r="J30" s="16"/>
      <c r="K30" s="75"/>
      <c r="L30" s="16"/>
      <c r="M30" s="282"/>
      <c r="N30" s="283"/>
      <c r="O30" s="283"/>
      <c r="P30" s="263"/>
      <c r="U30" s="266"/>
    </row>
    <row r="31" ht="44.85" customHeight="1">
      <c r="B31" s="51"/>
      <c r="C31" s="110" t="s">
        <v>147</v>
      </c>
      <c r="E31" s="111" t="s">
        <v>148</v>
      </c>
      <c r="F31" s="4"/>
      <c r="G31" s="112">
        <v>160000000</v>
      </c>
      <c r="I31" s="528" t="s">
        <v>317</v>
      </c>
      <c r="J31" s="528"/>
      <c r="K31" s="528"/>
      <c r="L31" s="528"/>
      <c r="M31" s="528"/>
      <c r="N31" s="528"/>
      <c r="O31" s="528"/>
      <c r="P31" s="263"/>
      <c r="R31" s="277">
        <f>PV(6%,O$14,,-#REF!,0)</f>
      </c>
      <c r="S31" s="258">
        <f>ROUNDUP(R31,-3)</f>
      </c>
      <c r="U31" s="266">
        <f>(#REF!*12)/G31</f>
      </c>
    </row>
    <row r="32" ht="21" customHeight="1">
      <c r="B32" s="51"/>
      <c r="C32" s="101"/>
      <c r="D32" s="16"/>
      <c r="E32" s="102"/>
      <c r="F32" s="16"/>
      <c r="G32" s="75"/>
      <c r="H32" s="16"/>
      <c r="I32" s="75"/>
      <c r="J32" s="16"/>
      <c r="K32" s="75"/>
      <c r="L32" s="16"/>
      <c r="M32" s="282"/>
      <c r="N32" s="283"/>
      <c r="O32" s="283"/>
      <c r="P32" s="263"/>
      <c r="U32" s="266"/>
    </row>
    <row r="33" ht="44.45" customHeight="1">
      <c r="B33" s="51"/>
      <c r="C33" s="131" t="s">
        <v>149</v>
      </c>
      <c r="E33" s="132" t="s">
        <v>150</v>
      </c>
      <c r="F33" s="4"/>
      <c r="G33" s="133">
        <v>320000000</v>
      </c>
      <c r="I33" s="529" t="s">
        <v>318</v>
      </c>
      <c r="J33" s="529"/>
      <c r="K33" s="529"/>
      <c r="L33" s="529"/>
      <c r="M33" s="529"/>
      <c r="N33" s="529"/>
      <c r="O33" s="529"/>
      <c r="P33" s="263"/>
      <c r="R33" s="277">
        <f>PV(6%,O$14,,-#REF!,0)</f>
      </c>
      <c r="S33" s="258">
        <f>ROUNDUP(R33,-3)</f>
      </c>
      <c r="U33" s="266">
        <f>(#REF!*12)/G33</f>
      </c>
    </row>
    <row r="34">
      <c r="B34" s="53"/>
      <c r="C34" s="7"/>
      <c r="D34" s="7"/>
      <c r="E34" s="7"/>
      <c r="F34" s="8"/>
      <c r="G34" s="7"/>
      <c r="H34" s="8"/>
      <c r="I34" s="8"/>
      <c r="J34" s="8"/>
      <c r="K34" s="7"/>
      <c r="L34" s="8"/>
      <c r="M34" s="8"/>
      <c r="N34" s="8"/>
      <c r="O34" s="7"/>
      <c r="P34" s="264"/>
    </row>
    <row r="36" ht="10.5" customHeight="1"/>
    <row r="37" ht="23.45">
      <c r="B37" s="500" t="s">
        <v>151</v>
      </c>
      <c r="C37" s="500"/>
      <c r="D37" s="500"/>
      <c r="E37" s="500"/>
      <c r="F37" s="500"/>
      <c r="G37" s="500"/>
      <c r="H37" s="500"/>
      <c r="I37" s="500"/>
      <c r="J37" s="500"/>
      <c r="K37" s="500"/>
      <c r="L37" s="500"/>
      <c r="M37" s="500"/>
      <c r="N37" s="500"/>
      <c r="O37" s="500"/>
      <c r="P37" s="500"/>
    </row>
    <row r="38" ht="18.399999999999999" customHeight="1">
      <c r="B38" s="56" t="s">
        <v>152</v>
      </c>
    </row>
    <row r="39" ht="6.2" customHeight="1"/>
    <row r="40" ht="32.1">
      <c r="B40" s="47"/>
      <c r="C40" s="57" t="s">
        <v>153</v>
      </c>
      <c r="D40" s="5"/>
      <c r="E40" s="57" t="s">
        <v>319</v>
      </c>
      <c r="F40" s="5"/>
      <c r="G40" s="58" t="s">
        <v>155</v>
      </c>
      <c r="H40" s="6"/>
      <c r="I40" s="58" t="s">
        <v>156</v>
      </c>
      <c r="J40" s="6"/>
      <c r="K40" s="58" t="s">
        <v>157</v>
      </c>
      <c r="L40" s="6"/>
      <c r="M40" s="58" t="s">
        <v>320</v>
      </c>
      <c r="N40" s="33"/>
      <c r="O40" s="58" t="s">
        <v>159</v>
      </c>
      <c r="P40" s="262"/>
    </row>
    <row r="41" ht="15.95">
      <c r="B41" s="51"/>
      <c r="I41" s="3"/>
      <c r="K41" s="60"/>
      <c r="N41" s="34"/>
      <c r="P41" s="263"/>
    </row>
    <row r="42" ht="21" customHeight="1">
      <c r="B42" s="51"/>
      <c r="C42" s="66">
        <v>1</v>
      </c>
      <c r="E42" s="67" t="s">
        <v>57</v>
      </c>
      <c r="G42" s="91">
        <f>INDEX('Portfolio Journey'!B95:T119,MATCH('Portfolio Journey'!FB96,'Portfolio Journey'!D95:D119,0),MATCH('Freedom Blueprint'!AA8,'Portfolio Journey'!B95:T95,0))</f>
      </c>
      <c r="H42" s="92"/>
      <c r="I42" s="91">
        <f>INDEX('Portfolio Journey'!B95:T119,MATCH('Portfolio Journey'!FB97,'Portfolio Journey'!D95:D119,0),MATCH('Freedom Blueprint'!AA8,'Portfolio Journey'!B95:T95,0))</f>
      </c>
      <c r="J42" s="92"/>
      <c r="K42" s="88">
        <v>7.0000000000000007E-2</v>
      </c>
      <c r="L42" s="17">
        <f>(1+K42)^(1/12)-1</f>
      </c>
      <c r="M42" s="181">
        <f>IF(O42=0,"0% ",O42/$O$78)</f>
      </c>
      <c r="N42" s="35"/>
      <c r="O42" s="18">
        <f>R42+S42</f>
      </c>
      <c r="P42" s="263"/>
      <c r="R42" s="269">
        <f>FV(K42,$O$14,,-G42,1)</f>
      </c>
      <c r="S42" s="269">
        <f>FV(L42,$O$14*12,-I42,,1)</f>
      </c>
    </row>
    <row r="43" ht="12" customHeight="1">
      <c r="B43" s="51"/>
      <c r="G43" s="93"/>
      <c r="H43" s="94"/>
      <c r="I43" s="95"/>
      <c r="J43" s="94"/>
      <c r="K43" s="89"/>
      <c r="L43" s="19"/>
      <c r="N43" s="20"/>
      <c r="O43" s="70"/>
      <c r="P43" s="263"/>
      <c r="R43" s="270"/>
      <c r="S43" s="270"/>
      <c r="AD43" s="69"/>
    </row>
    <row r="44" ht="21.6" customHeight="1">
      <c r="B44" s="51"/>
      <c r="C44" s="66">
        <v>2</v>
      </c>
      <c r="E44" s="67" t="s">
        <v>60</v>
      </c>
      <c r="G44" s="91">
        <f>INDEX('Portfolio Journey'!B95:T119,MATCH('Portfolio Journey'!FB98,'Portfolio Journey'!D95:D119,0),MATCH('Freedom Blueprint'!AA8,'Portfolio Journey'!B95:T95,0))</f>
      </c>
      <c r="H44" s="92"/>
      <c r="I44" s="185"/>
      <c r="J44" s="92"/>
      <c r="K44" s="88">
        <v>0</v>
      </c>
      <c r="L44" s="17">
        <f>(1+K44)^(1/12)-1</f>
      </c>
      <c r="M44" s="181">
        <f>IF(O44=0,"0% ",O44/$O$78)</f>
        <v xml:space="preserve">0% </v>
      </c>
      <c r="N44" s="35"/>
      <c r="O44" s="18">
        <f>R44+S44</f>
      </c>
      <c r="P44" s="263"/>
      <c r="R44" s="269">
        <f>FV(K44,$O$14,,-G44,1)</f>
      </c>
      <c r="S44" s="269">
        <f>FV(L44,$O$14*12,-I44,,1)</f>
      </c>
      <c r="AD44" s="69"/>
    </row>
    <row r="45" ht="12" customHeight="1">
      <c r="B45" s="51"/>
      <c r="G45" s="93"/>
      <c r="H45" s="94"/>
      <c r="I45" s="95"/>
      <c r="J45" s="94"/>
      <c r="K45" s="89"/>
      <c r="L45" s="19"/>
      <c r="N45" s="20"/>
      <c r="O45" s="70"/>
      <c r="P45" s="263"/>
      <c r="R45" s="270"/>
      <c r="S45" s="270"/>
      <c r="AD45" s="69"/>
    </row>
    <row r="46" ht="21" customHeight="1">
      <c r="B46" s="51"/>
      <c r="C46" s="66">
        <v>3</v>
      </c>
      <c r="E46" s="67" t="s">
        <v>62</v>
      </c>
      <c r="G46" s="91">
        <f>INDEX('Portfolio Journey'!B95:T119,MATCH('Portfolio Journey'!FB100,'Portfolio Journey'!D95:D119,0),MATCH('Freedom Blueprint'!AA8,'Portfolio Journey'!B95:T95,0))</f>
      </c>
      <c r="H46" s="92"/>
      <c r="I46" s="91">
        <f>INDEX('Portfolio Journey'!B95:T119,MATCH('Portfolio Journey'!FB101,'Portfolio Journey'!D95:D119,0),MATCH('Freedom Blueprint'!AA8,'Portfolio Journey'!B95:T95,0))</f>
      </c>
      <c r="J46" s="92"/>
      <c r="K46" s="88">
        <v>0.05</v>
      </c>
      <c r="L46" s="17">
        <f>(1+K46)^(1/12)-1</f>
      </c>
      <c r="M46" s="181">
        <f>IF(O46=0,"0% ",O46/$O$78)</f>
        <v xml:space="preserve">0% </v>
      </c>
      <c r="N46" s="35"/>
      <c r="O46" s="18">
        <f>R46+S46</f>
      </c>
      <c r="P46" s="263"/>
      <c r="R46" s="269">
        <f>FV(K46,$O$14,,-G46,1)</f>
      </c>
      <c r="S46" s="269">
        <f>FV(L46,$O$14*12,-I46,,1)</f>
      </c>
      <c r="AD46" s="69"/>
    </row>
    <row r="47" ht="12" customHeight="1">
      <c r="B47" s="51"/>
      <c r="G47" s="93"/>
      <c r="H47" s="94"/>
      <c r="I47" s="95"/>
      <c r="J47" s="94"/>
      <c r="K47" s="89"/>
      <c r="L47" s="19"/>
      <c r="N47" s="20"/>
      <c r="O47" s="70"/>
      <c r="P47" s="263"/>
      <c r="R47" s="270"/>
      <c r="S47" s="270"/>
      <c r="AD47" s="69"/>
    </row>
    <row r="48" ht="21" customHeight="1">
      <c r="B48" s="51"/>
      <c r="C48" s="66">
        <v>4</v>
      </c>
      <c r="E48" s="67" t="s">
        <v>65</v>
      </c>
      <c r="G48" s="91">
        <f>INDEX('Portfolio Journey'!B95:T119,MATCH('Portfolio Journey'!FB102,'Portfolio Journey'!D95:D119,0),MATCH('Freedom Blueprint'!AA8,'Portfolio Journey'!B95:T95,0))</f>
      </c>
      <c r="H48" s="92"/>
      <c r="I48" s="91">
        <f>INDEX('Portfolio Journey'!B95:T119,MATCH('Portfolio Journey'!FB103,'Portfolio Journey'!D95:D119,0),MATCH('Freedom Blueprint'!AA8,'Portfolio Journey'!B95:T95,0))</f>
      </c>
      <c r="J48" s="92"/>
      <c r="K48" s="88">
        <v>7.0999999999999994E-2</v>
      </c>
      <c r="L48" s="17">
        <f>(1+K48)^(1/12)-1</f>
      </c>
      <c r="M48" s="181">
        <f>IF(O48=0,"0% ",O48/$O$78)</f>
      </c>
      <c r="N48" s="35"/>
      <c r="O48" s="18">
        <f>R48+S48</f>
      </c>
      <c r="P48" s="263"/>
      <c r="R48" s="269">
        <f>FV(K48,$O$14,,-G48,1)</f>
      </c>
      <c r="S48" s="269">
        <f>FV(L48,$O$14*12,-I48,,1)</f>
      </c>
    </row>
    <row r="49" ht="12" customHeight="1">
      <c r="B49" s="51"/>
      <c r="G49" s="93"/>
      <c r="H49" s="94"/>
      <c r="I49" s="95"/>
      <c r="J49" s="94"/>
      <c r="K49" s="89"/>
      <c r="L49" s="19"/>
      <c r="N49" s="20"/>
      <c r="O49" s="70"/>
      <c r="P49" s="263"/>
      <c r="R49" s="270"/>
      <c r="S49" s="270"/>
      <c r="AD49" s="69"/>
    </row>
    <row r="50" ht="21" customHeight="1">
      <c r="B50" s="51"/>
      <c r="C50" s="66">
        <v>5</v>
      </c>
      <c r="E50" s="67" t="s">
        <v>68</v>
      </c>
      <c r="G50" s="91">
        <f>INDEX('Portfolio Journey'!B95:T119,MATCH('Portfolio Journey'!FB104,'Portfolio Journey'!D95:D119,0),MATCH('Freedom Blueprint'!AA8,'Portfolio Journey'!B95:T95,0))</f>
      </c>
      <c r="H50" s="92"/>
      <c r="I50" s="91">
        <f>INDEX('Portfolio Journey'!B95:T119,MATCH('Portfolio Journey'!FB105,'Portfolio Journey'!D95:D119,0),MATCH('Freedom Blueprint'!AA8,'Portfolio Journey'!B95:T95,0))</f>
      </c>
      <c r="J50" s="92"/>
      <c r="K50" s="88">
        <v>0.06</v>
      </c>
      <c r="L50" s="17">
        <f>(1+K50)^(1/12)-1</f>
      </c>
      <c r="M50" s="181">
        <f>IF(O50=0,"0% ",O50/$O$78)</f>
        <v xml:space="preserve">0% </v>
      </c>
      <c r="N50" s="35"/>
      <c r="O50" s="18">
        <f>R50+S50</f>
      </c>
      <c r="P50" s="263"/>
      <c r="R50" s="269">
        <f>FV(K50,$O$14,,-G50,1)</f>
      </c>
      <c r="S50" s="269">
        <f>FV(L50,$O$14*12,-I50,,1)</f>
      </c>
    </row>
    <row r="51" ht="12" customHeight="1">
      <c r="B51" s="51"/>
      <c r="G51" s="93"/>
      <c r="H51" s="94"/>
      <c r="I51" s="95"/>
      <c r="J51" s="94"/>
      <c r="K51" s="90"/>
      <c r="L51" s="19"/>
      <c r="N51" s="20"/>
      <c r="O51" s="70"/>
      <c r="P51" s="263"/>
      <c r="R51" s="270"/>
      <c r="S51" s="270"/>
      <c r="AD51" s="69"/>
    </row>
    <row r="52" ht="21" customHeight="1">
      <c r="B52" s="51"/>
      <c r="C52" s="66">
        <v>6</v>
      </c>
      <c r="E52" s="67" t="s">
        <v>161</v>
      </c>
      <c r="G52" s="91">
        <f>INDEX('Portfolio Journey'!B56:T63,MATCH('Portfolio Journey'!FB58,'Portfolio Journey'!E56:E63,0),MATCH('Freedom Blueprint'!AA8,'Portfolio Journey'!B5:T5,0))</f>
      </c>
      <c r="H52" s="92"/>
      <c r="I52" s="91">
        <f>INDEX('Portfolio Journey'!B56:T63,MATCH('Portfolio Journey'!FB62,'Portfolio Journey'!E56:E63,0),MATCH('Freedom Blueprint'!AA8,'Portfolio Journey'!B5:T5,0))</f>
      </c>
      <c r="J52" s="92"/>
      <c r="K52" s="88">
        <v>0.06</v>
      </c>
      <c r="L52" s="17">
        <f>(1+K52)^(1/12)-1</f>
      </c>
      <c r="M52" s="181">
        <f>IF(O52=0,"0% ",O52/$O$78)</f>
      </c>
      <c r="N52" s="35"/>
      <c r="O52" s="18">
        <f>R52+S52</f>
      </c>
      <c r="P52" s="263"/>
      <c r="R52" s="269">
        <f>FV(K52,$O$14,,-G52,1)</f>
      </c>
      <c r="S52" s="269">
        <f>FV(L52,$O$14*12,-I52,,1)</f>
      </c>
    </row>
    <row r="53" ht="12" customHeight="1">
      <c r="B53" s="51"/>
      <c r="G53" s="93"/>
      <c r="H53" s="94"/>
      <c r="I53" s="95"/>
      <c r="J53" s="94"/>
      <c r="K53" s="90"/>
      <c r="L53" s="19"/>
      <c r="N53" s="20"/>
      <c r="O53" s="70"/>
      <c r="P53" s="263"/>
      <c r="R53" s="270"/>
      <c r="S53" s="269"/>
      <c r="AD53" s="69"/>
    </row>
    <row r="54" ht="21" customHeight="1">
      <c r="B54" s="51"/>
      <c r="C54" s="66">
        <v>7</v>
      </c>
      <c r="E54" s="67" t="s">
        <v>162</v>
      </c>
      <c r="G54" s="91">
        <f>INDEX('Portfolio Journey'!B56:T63,MATCH('Portfolio Journey'!FB57,'Portfolio Journey'!E56:E63,0),MATCH('Freedom Blueprint'!AA8,'Portfolio Journey'!B5:T5,0))</f>
      </c>
      <c r="H54" s="92"/>
      <c r="I54" s="91">
        <f>INDEX('Portfolio Journey'!B56:T63,MATCH('Portfolio Journey'!FB61,'Portfolio Journey'!E56:E63,0),MATCH('Freedom Blueprint'!AA8,'Portfolio Journey'!B5:T5,0))</f>
      </c>
      <c r="J54" s="92"/>
      <c r="K54" s="88">
        <v>0.1</v>
      </c>
      <c r="L54" s="17">
        <f>(1+K54)^(1/12)-1</f>
      </c>
      <c r="M54" s="181">
        <f>IF(O54=0,"0% ",O54/$O$78)</f>
      </c>
      <c r="N54" s="35"/>
      <c r="O54" s="18">
        <f>R54+S54</f>
      </c>
      <c r="P54" s="263"/>
      <c r="R54" s="269">
        <f>FV(K54,$O$14,,-G54,1)</f>
      </c>
      <c r="S54" s="269">
        <f>FV(L54,$O$14*12,-I54,,1)</f>
      </c>
    </row>
    <row r="55" ht="12" customHeight="1">
      <c r="B55" s="51"/>
      <c r="G55" s="93"/>
      <c r="H55" s="94"/>
      <c r="I55" s="95"/>
      <c r="J55" s="94"/>
      <c r="K55" s="90"/>
      <c r="L55" s="19"/>
      <c r="N55" s="20"/>
      <c r="O55" s="70"/>
      <c r="P55" s="263"/>
      <c r="R55" s="270"/>
      <c r="S55" s="270"/>
      <c r="AD55" s="69"/>
    </row>
    <row r="56" ht="21" customHeight="1">
      <c r="B56" s="51"/>
      <c r="C56" s="66">
        <v>8</v>
      </c>
      <c r="E56" s="67" t="s">
        <v>163</v>
      </c>
      <c r="G56" s="91">
        <f>INDEX('Portfolio Journey'!B56:T63,MATCH('Portfolio Journey'!FB56,'Portfolio Journey'!E56:E63,0),MATCH('Freedom Blueprint'!AA8,'Portfolio Journey'!B5:T5,0))</f>
      </c>
      <c r="H56" s="92"/>
      <c r="I56" s="91">
        <f>INDEX('Portfolio Journey'!B56:T63,MATCH('Portfolio Journey'!FB60,'Portfolio Journey'!E56:E63,0),MATCH('Freedom Blueprint'!AA8,'Portfolio Journey'!B5:T5,0))</f>
      </c>
      <c r="J56" s="92"/>
      <c r="K56" s="88">
        <v>0.12</v>
      </c>
      <c r="L56" s="17">
        <f>(1+K56)^(1/12)-1</f>
      </c>
      <c r="M56" s="181">
        <f>IF(O56=0,"0% ",O56/$O$78)</f>
      </c>
      <c r="N56" s="35"/>
      <c r="O56" s="18">
        <f>R56+S56</f>
      </c>
      <c r="P56" s="263"/>
      <c r="R56" s="269">
        <f>FV(K56,$O$14,,-G56,1)</f>
      </c>
      <c r="S56" s="269">
        <f>FV(L56,$O$14*12,-I56,,1)</f>
      </c>
    </row>
    <row r="57" ht="12" customHeight="1">
      <c r="B57" s="51"/>
      <c r="G57" s="93"/>
      <c r="H57" s="94"/>
      <c r="I57" s="95"/>
      <c r="J57" s="94"/>
      <c r="K57" s="90"/>
      <c r="L57" s="19"/>
      <c r="N57" s="20"/>
      <c r="O57" s="70"/>
      <c r="P57" s="263"/>
      <c r="R57" s="270"/>
      <c r="S57" s="270"/>
      <c r="AD57" s="69"/>
    </row>
    <row r="58" ht="21" customHeight="1">
      <c r="B58" s="51"/>
      <c r="C58" s="66">
        <v>9</v>
      </c>
      <c r="E58" s="67" t="s">
        <v>164</v>
      </c>
      <c r="G58" s="91">
        <f>INDEX('Portfolio Journey'!B56:T63,MATCH('Portfolio Journey'!FB59,'Portfolio Journey'!E56:E63,0),MATCH('Freedom Blueprint'!AA8,'Portfolio Journey'!B5:T5,0))</f>
      </c>
      <c r="H58" s="92"/>
      <c r="I58" s="91">
        <f>INDEX('Portfolio Journey'!B56:T63,MATCH('Portfolio Journey'!FB63,'Portfolio Journey'!E56:E63,0),MATCH('Freedom Blueprint'!AA8,'Portfolio Journey'!B5:T5,0))</f>
      </c>
      <c r="J58" s="92"/>
      <c r="K58" s="88">
        <v>0.09</v>
      </c>
      <c r="L58" s="17">
        <f>(1+K58)^(1/12)-1</f>
      </c>
      <c r="M58" s="181">
        <f>IF(O58=0,"0% ",O58/$O$78)</f>
      </c>
      <c r="N58" s="35"/>
      <c r="O58" s="18">
        <f>R58+S58</f>
      </c>
      <c r="P58" s="263"/>
      <c r="R58" s="269">
        <f>FV(K58,$O$14,,-G58,1)</f>
      </c>
      <c r="S58" s="269">
        <f>FV(L58,$O$14*12,-I58,,1)</f>
      </c>
      <c r="AD58" s="69"/>
    </row>
    <row r="59" ht="12" customHeight="1">
      <c r="B59" s="51"/>
      <c r="G59" s="93"/>
      <c r="H59" s="94"/>
      <c r="I59" s="95"/>
      <c r="J59" s="94"/>
      <c r="K59" s="90"/>
      <c r="L59" s="19"/>
      <c r="N59" s="20"/>
      <c r="O59" s="70"/>
      <c r="P59" s="263"/>
      <c r="R59" s="270"/>
      <c r="S59" s="270"/>
      <c r="AD59" s="69"/>
    </row>
    <row r="60" ht="21" customHeight="1">
      <c r="B60" s="51"/>
      <c r="C60" s="66">
        <v>10</v>
      </c>
      <c r="E60" s="67" t="s">
        <v>321</v>
      </c>
      <c r="G60" s="91">
        <f>INDEX('Portfolio Journey'!B95:T119,MATCH('Portfolio Journey'!FB106,'Portfolio Journey'!D95:D119,0),MATCH('Freedom Blueprint'!AA8,'Portfolio Journey'!B95:T95,0))</f>
      </c>
      <c r="H60" s="92"/>
      <c r="I60" s="91">
        <f>INDEX('Portfolio Journey'!B95:T119,MATCH('Portfolio Journey'!FB107,'Portfolio Journey'!D95:D119,0),MATCH('Freedom Blueprint'!AA8,'Portfolio Journey'!B95:T95,0))</f>
      </c>
      <c r="J60" s="92"/>
      <c r="K60" s="88">
        <v>0.1</v>
      </c>
      <c r="L60" s="17">
        <f>(1+K60)^(1/12)-1</f>
      </c>
      <c r="M60" s="181">
        <f>IF(O60=0,"0% ",O60/$O$78)</f>
        <v xml:space="preserve">0% </v>
      </c>
      <c r="N60" s="35"/>
      <c r="O60" s="18">
        <f>R60+S60</f>
      </c>
      <c r="P60" s="263"/>
      <c r="R60" s="269">
        <f>FV(K60,$O$14,,-G60,1)</f>
      </c>
      <c r="S60" s="269">
        <f>FV(L60,$O$14*12,-I60,,1)</f>
      </c>
    </row>
    <row r="61" ht="12" customHeight="1">
      <c r="B61" s="51"/>
      <c r="G61" s="93"/>
      <c r="H61" s="94"/>
      <c r="I61" s="95"/>
      <c r="J61" s="94"/>
      <c r="K61" s="90"/>
      <c r="L61" s="19"/>
      <c r="N61" s="20"/>
      <c r="O61" s="70"/>
      <c r="P61" s="263"/>
      <c r="R61" s="269"/>
      <c r="S61" s="270"/>
      <c r="AD61" s="69"/>
    </row>
    <row r="62" ht="20.45" customHeight="1">
      <c r="B62" s="51"/>
      <c r="C62" s="66">
        <v>11</v>
      </c>
      <c r="E62" s="67" t="s">
        <v>322</v>
      </c>
      <c r="G62" s="91">
        <f>INDEX('Portfolio Journey'!B95:T119,MATCH('Portfolio Journey'!FB108,'Portfolio Journey'!D95:D119,0),MATCH('Freedom Blueprint'!AA8,'Portfolio Journey'!B95:T95,0))</f>
      </c>
      <c r="H62" s="92"/>
      <c r="I62" s="91">
        <f>INDEX('Portfolio Journey'!B95:T119,MATCH('Portfolio Journey'!FB109,'Portfolio Journey'!D95:D119,0),MATCH('Freedom Blueprint'!AA8,'Portfolio Journey'!B95:T95,0))</f>
      </c>
      <c r="J62" s="92"/>
      <c r="K62" s="88">
        <v>0.1</v>
      </c>
      <c r="L62" s="17">
        <f>(1+K62)^(1/12)-1</f>
      </c>
      <c r="M62" s="181">
        <f>IF(O62=0,"0% ",O62/$O$78)</f>
        <v xml:space="preserve">0% </v>
      </c>
      <c r="N62" s="35"/>
      <c r="O62" s="18">
        <f>R62+S62</f>
      </c>
      <c r="P62" s="263"/>
      <c r="R62" s="269">
        <f>FV(K62,$O$14,,-G62,1)</f>
      </c>
      <c r="S62" s="269">
        <f>FV(L62,$O$14*12,-I62,,1)</f>
      </c>
      <c r="AD62" s="69"/>
    </row>
    <row r="63" ht="12" customHeight="1">
      <c r="B63" s="51"/>
      <c r="G63" s="93"/>
      <c r="H63" s="94"/>
      <c r="I63" s="95"/>
      <c r="J63" s="94"/>
      <c r="K63" s="90"/>
      <c r="L63" s="19"/>
      <c r="N63" s="20"/>
      <c r="O63" s="70"/>
      <c r="P63" s="263"/>
      <c r="R63" s="269"/>
      <c r="S63" s="270"/>
      <c r="AD63" s="69"/>
    </row>
    <row r="64" ht="21" customHeight="1">
      <c r="B64" s="51"/>
      <c r="C64" s="66">
        <v>12</v>
      </c>
      <c r="E64" s="72" t="s">
        <v>77</v>
      </c>
      <c r="G64" s="91">
        <f>INDEX('Portfolio Journey'!B95:T119,MATCH('Portfolio Journey'!FB110,'Portfolio Journey'!D95:D119,0),MATCH('Freedom Blueprint'!AA8,'Portfolio Journey'!B95:T95,0))</f>
      </c>
      <c r="H64" s="92"/>
      <c r="I64" s="91">
        <f>INDEX('Portfolio Journey'!B95:T119,MATCH('Portfolio Journey'!FB111,'Portfolio Journey'!D95:D119,0),MATCH('Freedom Blueprint'!AA8,'Portfolio Journey'!B95:T95,0))</f>
      </c>
      <c r="J64" s="92"/>
      <c r="K64" s="88">
        <v>0.05</v>
      </c>
      <c r="L64" s="17">
        <f>(1+K64)^(1/12)-1</f>
      </c>
      <c r="M64" s="181">
        <f>IF(O64=0,"0% ",O64/$O$78)</f>
      </c>
      <c r="N64" s="35"/>
      <c r="O64" s="18">
        <f>R64+S64</f>
      </c>
      <c r="P64" s="263"/>
      <c r="R64" s="269">
        <f>FV(K64,$O$14,,-G64,1)</f>
      </c>
      <c r="S64" s="269">
        <f>FV(L64,$O$14*12,-I64,,1)</f>
      </c>
    </row>
    <row r="65" ht="12" customHeight="1">
      <c r="B65" s="51"/>
      <c r="G65" s="93"/>
      <c r="H65" s="94"/>
      <c r="I65" s="95"/>
      <c r="J65" s="94"/>
      <c r="K65" s="90"/>
      <c r="L65" s="19"/>
      <c r="N65" s="20"/>
      <c r="O65" s="70"/>
      <c r="P65" s="263"/>
      <c r="R65" s="270"/>
      <c r="S65" s="270"/>
      <c r="AD65" s="69"/>
    </row>
    <row r="66" ht="21" customHeight="1">
      <c r="B66" s="51"/>
      <c r="C66" s="66">
        <v>13</v>
      </c>
      <c r="E66" s="67" t="s">
        <v>166</v>
      </c>
      <c r="G66" s="91">
        <f>INDEX('Portfolio Journey'!B89:T90,MATCH('Portfolio Journey'!FB89,'Portfolio Journey'!B89:B90,0),MATCH('Freedom Blueprint'!AA8,'Portfolio Journey'!B5:T5,0))</f>
      </c>
      <c r="H66" s="92"/>
      <c r="I66" s="91">
        <f>INDEX('Portfolio Journey'!B89:T90,MATCH('Portfolio Journey'!FB90,'Portfolio Journey'!B89:B90,0),MATCH('Freedom Blueprint'!AA8,'Portfolio Journey'!B5:T5,0))</f>
      </c>
      <c r="J66" s="92"/>
      <c r="K66" s="88">
        <v>0.14000000000000001</v>
      </c>
      <c r="L66" s="17">
        <f>(1+K66)^(1/12)-1</f>
      </c>
      <c r="M66" s="181">
        <f>IF(O66=0,"0% ",O66/$O$78)</f>
      </c>
      <c r="N66" s="35"/>
      <c r="O66" s="18">
        <f>R66+S66</f>
      </c>
      <c r="P66" s="263"/>
      <c r="R66" s="269">
        <f>FV(K66,$O$14,,-G66,1)</f>
      </c>
      <c r="S66" s="269">
        <f>FV(L66,$O$14*12,-I66,,1)</f>
      </c>
    </row>
    <row r="67" ht="12" customHeight="1">
      <c r="B67" s="51"/>
      <c r="E67" s="69"/>
      <c r="G67" s="93"/>
      <c r="H67" s="94"/>
      <c r="I67" s="95"/>
      <c r="J67" s="94"/>
      <c r="K67" s="90"/>
      <c r="L67" s="19"/>
      <c r="N67" s="20"/>
      <c r="O67" s="70"/>
      <c r="P67" s="263"/>
      <c r="R67" s="270"/>
      <c r="S67" s="270"/>
    </row>
    <row r="68" ht="21" customHeight="1">
      <c r="B68" s="51"/>
      <c r="C68" s="66">
        <v>14</v>
      </c>
      <c r="E68" s="67" t="s">
        <v>80</v>
      </c>
      <c r="G68" s="91">
        <v>0</v>
      </c>
      <c r="H68" s="92"/>
      <c r="I68" s="185"/>
      <c r="J68" s="92"/>
      <c r="K68" s="88">
        <v>0.06</v>
      </c>
      <c r="L68" s="17">
        <f>(1+K68)^(1/12)-1</f>
      </c>
      <c r="M68" s="181">
        <f>IF(O68=0,"0% ",O68/$O$78)</f>
        <v xml:space="preserve">0% </v>
      </c>
      <c r="N68" s="35"/>
      <c r="O68" s="18">
        <f>R68+S68</f>
      </c>
      <c r="P68" s="263"/>
      <c r="R68" s="269">
        <f>FV(K68,$O$14,,-G68,1)</f>
      </c>
      <c r="S68" s="269">
        <f>FV(L68,$O$14*12,-I68,,1)</f>
      </c>
    </row>
    <row r="69" ht="12" customHeight="1">
      <c r="B69" s="51"/>
      <c r="E69" s="73"/>
      <c r="G69" s="96"/>
      <c r="H69" s="97"/>
      <c r="I69" s="98"/>
      <c r="J69" s="97"/>
      <c r="K69" s="90"/>
      <c r="L69" s="19"/>
      <c r="N69" s="20"/>
      <c r="O69" s="74"/>
      <c r="P69" s="263"/>
    </row>
    <row r="70" ht="21" customHeight="1">
      <c r="B70" s="51"/>
      <c r="C70" s="66">
        <v>15</v>
      </c>
      <c r="E70" s="67" t="s">
        <v>82</v>
      </c>
      <c r="G70" s="91">
        <v>0</v>
      </c>
      <c r="H70" s="92"/>
      <c r="I70" s="91">
        <f>INDEX('Portfolio Journey'!B95:T119,MATCH('Portfolio Journey'!FB115,'Portfolio Journey'!D95:D119,0),MATCH('Freedom Blueprint'!AA8,'Portfolio Journey'!B95:T95,0))</f>
      </c>
      <c r="J70" s="92"/>
      <c r="K70" s="88">
        <v>0.08</v>
      </c>
      <c r="L70" s="17">
        <f>(1+K70)^(1/12)-1</f>
      </c>
      <c r="M70" s="181">
        <f>IF(O70=0,"0% ",O70/$O$78)</f>
        <v xml:space="preserve">0% </v>
      </c>
      <c r="N70" s="35"/>
      <c r="O70" s="18">
        <f>R70+S70</f>
      </c>
      <c r="P70" s="263"/>
      <c r="R70" s="269">
        <f>FV(K70,$O$14,,-G70,1)</f>
      </c>
      <c r="S70" s="269">
        <f>FV(L70,$O$14*12,-I70,,1)</f>
      </c>
    </row>
    <row r="71" ht="12" customHeight="1">
      <c r="B71" s="51"/>
      <c r="E71" s="73"/>
      <c r="G71" s="96"/>
      <c r="H71" s="97"/>
      <c r="I71" s="98"/>
      <c r="J71" s="97"/>
      <c r="K71" s="90"/>
      <c r="L71" s="19"/>
      <c r="N71" s="20"/>
      <c r="O71" s="74"/>
      <c r="P71" s="263"/>
    </row>
    <row r="72" ht="22.15" customHeight="1">
      <c r="B72" s="51"/>
      <c r="C72" s="66">
        <v>16</v>
      </c>
      <c r="E72" s="67" t="s">
        <v>85</v>
      </c>
      <c r="G72" s="91">
        <f>INDEX('Portfolio Journey'!B95:T119,MATCH('Portfolio Journey'!FB116,'Portfolio Journey'!D95:D119,0),MATCH('Freedom Blueprint'!AA8,'Portfolio Journey'!B95:T95,0))</f>
      </c>
      <c r="H72" s="92"/>
      <c r="I72" s="91">
        <f>INDEX('Portfolio Journey'!B95:T119,MATCH('Portfolio Journey'!FB117,'Portfolio Journey'!D95:D119,0),MATCH('Freedom Blueprint'!AA8,'Portfolio Journey'!B95:T95,0))</f>
      </c>
      <c r="J72" s="92"/>
      <c r="K72" s="88">
        <v>0.05</v>
      </c>
      <c r="L72" s="17">
        <f>(1+K72)^(1/12)-1</f>
      </c>
      <c r="M72" s="181">
        <f>IF(O72=0,"0% ",O72/$O$78)</f>
        <v xml:space="preserve">0% </v>
      </c>
      <c r="N72" s="35"/>
      <c r="O72" s="18">
        <f>R72+S72</f>
      </c>
      <c r="P72" s="263"/>
      <c r="R72" s="269">
        <f>FV(K72,$O$14,,-G72,1)</f>
      </c>
      <c r="S72" s="269">
        <f>FV(L72,$O$14*12,-I72,,1)</f>
      </c>
    </row>
    <row r="73" ht="12" customHeight="1">
      <c r="B73" s="51"/>
      <c r="E73" s="73"/>
      <c r="G73" s="96"/>
      <c r="H73" s="97"/>
      <c r="I73" s="98"/>
      <c r="J73" s="97"/>
      <c r="K73" s="90"/>
      <c r="L73" s="19"/>
      <c r="N73" s="20"/>
      <c r="O73" s="74"/>
      <c r="P73" s="263"/>
    </row>
    <row r="74" ht="24.4" customHeight="1">
      <c r="B74" s="51"/>
      <c r="C74" s="66">
        <v>17</v>
      </c>
      <c r="E74" s="67" t="s">
        <v>167</v>
      </c>
      <c r="G74" s="91">
        <f>INDEX('Portfolio Journey'!B95:T119,MATCH('Portfolio Journey'!FB118,'Portfolio Journey'!D95:D119,0),MATCH('Freedom Blueprint'!AA8,'Portfolio Journey'!B95:T95,0))</f>
      </c>
      <c r="H74" s="92"/>
      <c r="I74" s="91">
        <f>INDEX('Portfolio Journey'!B95:T119,MATCH('Portfolio Journey'!FB119,'Portfolio Journey'!D95:D119,0),MATCH('Freedom Blueprint'!AA8,'Portfolio Journey'!B95:T95,0))</f>
      </c>
      <c r="J74" s="92"/>
      <c r="K74" s="88">
        <v>7.0000000000000007E-2</v>
      </c>
      <c r="L74" s="17">
        <f>(1+K74)^(1/12)-1</f>
      </c>
      <c r="M74" s="181">
        <f>IF(O74=0,"0% ",O74/$O$78)</f>
      </c>
      <c r="N74" s="35"/>
      <c r="O74" s="18">
        <f>R74+S74</f>
      </c>
      <c r="P74" s="263"/>
      <c r="R74" s="269">
        <f>FV(K74,$O$14,,-G74,1)</f>
      </c>
      <c r="S74" s="269">
        <f>FV(L74,$O$14*12,-I74,,1)</f>
      </c>
    </row>
    <row r="75" ht="12.2" customHeight="1">
      <c r="B75" s="51"/>
      <c r="C75" s="76"/>
      <c r="E75" s="73"/>
      <c r="G75" s="96"/>
      <c r="H75" s="92"/>
      <c r="I75" s="96"/>
      <c r="J75" s="92"/>
      <c r="K75" s="128"/>
      <c r="L75" s="17"/>
      <c r="N75" s="35"/>
      <c r="O75" s="129"/>
      <c r="P75" s="263"/>
      <c r="R75" s="269"/>
      <c r="S75" s="269"/>
    </row>
    <row r="76" ht="21.6" customHeight="1">
      <c r="B76" s="51"/>
      <c r="C76" s="66">
        <v>18</v>
      </c>
      <c r="E76" s="180" t="s">
        <v>168</v>
      </c>
      <c r="G76" s="99"/>
      <c r="H76" s="92"/>
      <c r="I76" s="99"/>
      <c r="J76" s="92"/>
      <c r="K76" s="88">
        <v>0.12</v>
      </c>
      <c r="L76" s="17">
        <f>(1+K76)^(1/12)-1</f>
      </c>
      <c r="M76" s="181">
        <f>IF(O76=0,"0% ",O76/$O$78)</f>
        <v xml:space="preserve">0% </v>
      </c>
      <c r="N76" s="35"/>
      <c r="O76" s="18">
        <f>R76+S76</f>
      </c>
      <c r="P76" s="263"/>
      <c r="R76" s="269">
        <f>FV(K76,$O$14,,-G76,1)</f>
      </c>
      <c r="S76" s="269">
        <f>FV(L76,$O$14*12,-I76,,1)</f>
      </c>
    </row>
    <row r="77" ht="12" customHeight="1">
      <c r="B77" s="51"/>
      <c r="E77" s="76"/>
      <c r="G77" s="74"/>
      <c r="H77" s="22"/>
      <c r="I77" s="75"/>
      <c r="J77" s="22"/>
      <c r="K77" s="90"/>
      <c r="L77" s="19"/>
      <c r="N77" s="36"/>
      <c r="O77" s="74"/>
      <c r="P77" s="263"/>
    </row>
    <row r="78" ht="20.45" customHeight="1">
      <c r="B78" s="51"/>
      <c r="E78" s="77" t="s">
        <v>169</v>
      </c>
      <c r="G78" s="24">
        <f>SUM(G42:G76)</f>
      </c>
      <c r="H78" s="21"/>
      <c r="I78" s="78">
        <f>SUM(I42:I76)</f>
      </c>
      <c r="J78" s="21"/>
      <c r="K78" s="79">
        <f>(K42*M42)+(K44*M44)+(K46*M46)+(K48*M48)+(K50*M50)+(K52*M52)+(K54*M54)+(K56*M56)+(K58*M58)+(K60*M60)+(K62*M62)+(K64*M64)+(K66*M66)+(K68*M68)+(K70*M70)+(K72*M72)+(K74*M74)+(K76*M76)</f>
      </c>
      <c r="L78" s="23"/>
      <c r="M78" s="182">
        <f>SUM(M42:M76)</f>
      </c>
      <c r="N78" s="35"/>
      <c r="O78" s="24">
        <f>SUM(O42:O76)</f>
      </c>
      <c r="P78" s="263"/>
    </row>
    <row r="79" ht="7.7" customHeight="1">
      <c r="B79" s="51"/>
      <c r="E79" s="76"/>
      <c r="G79" s="74"/>
      <c r="H79" s="22"/>
      <c r="I79" s="22"/>
      <c r="J79" s="22"/>
      <c r="K79" s="75"/>
      <c r="M79" s="16"/>
      <c r="O79" s="74"/>
      <c r="P79" s="263"/>
    </row>
    <row r="80" ht="4.7" customHeight="1">
      <c r="B80" s="53"/>
      <c r="C80" s="7"/>
      <c r="D80" s="7"/>
      <c r="E80" s="7"/>
      <c r="F80" s="7"/>
      <c r="G80" s="7"/>
      <c r="H80" s="8"/>
      <c r="I80" s="8"/>
      <c r="J80" s="8"/>
      <c r="K80" s="7"/>
      <c r="L80" s="8"/>
      <c r="M80" s="7"/>
      <c r="N80" s="8"/>
      <c r="O80" s="7"/>
      <c r="P80" s="264"/>
    </row>
    <row r="82" ht="23.45">
      <c r="B82" s="500" t="s">
        <v>170</v>
      </c>
      <c r="C82" s="500"/>
      <c r="D82" s="500"/>
      <c r="E82" s="500"/>
      <c r="F82" s="500"/>
      <c r="G82" s="500"/>
      <c r="H82" s="500"/>
      <c r="I82" s="500"/>
      <c r="J82" s="500"/>
      <c r="K82" s="500"/>
      <c r="L82" s="500"/>
      <c r="M82" s="500"/>
      <c r="N82" s="500"/>
      <c r="O82" s="500"/>
      <c r="P82" s="500"/>
    </row>
    <row r="83" ht="17.25" customHeight="1">
      <c r="B83" s="56" t="s">
        <v>323</v>
      </c>
    </row>
    <row r="84" ht="4.1500000000000004" customHeight="1">
      <c r="G84" s="7"/>
      <c r="M84" s="7"/>
    </row>
    <row r="85" ht="36.950000000000003">
      <c r="B85" s="47"/>
      <c r="C85" s="491" t="s">
        <v>309</v>
      </c>
      <c r="D85" s="5"/>
      <c r="E85" s="489" t="s">
        <v>310</v>
      </c>
      <c r="F85" s="5"/>
      <c r="G85" s="492" t="s">
        <v>311</v>
      </c>
      <c r="H85" s="6"/>
      <c r="I85" s="58" t="s">
        <v>172</v>
      </c>
      <c r="J85" s="6"/>
      <c r="K85" s="491" t="s">
        <v>324</v>
      </c>
      <c r="L85" s="491"/>
      <c r="M85" s="491"/>
      <c r="N85" s="179"/>
      <c r="O85" s="179"/>
      <c r="P85" s="262"/>
      <c r="BF85" s="533" t="s">
        <v>325</v>
      </c>
      <c r="BG85" s="533"/>
    </row>
    <row r="86" ht="6.6" customHeight="1">
      <c r="B86" s="51"/>
      <c r="C86" s="492"/>
      <c r="E86" s="490"/>
      <c r="G86" s="492"/>
      <c r="I86" s="3"/>
      <c r="O86" s="81"/>
      <c r="P86" s="268"/>
    </row>
    <row r="87" ht="21" customHeight="1">
      <c r="B87" s="51"/>
      <c r="C87" s="103" t="s">
        <v>139</v>
      </c>
      <c r="E87" s="104" t="s">
        <v>140</v>
      </c>
      <c r="F87" s="4"/>
      <c r="G87" s="105">
        <f>G23</f>
      </c>
      <c r="I87" s="105">
        <f>O78</f>
      </c>
      <c r="K87" s="535">
        <f>IF(G87&lt;I87,"Congratulations! You can Proceed to Next Level",G87-I87)</f>
      </c>
      <c r="L87" s="535"/>
      <c r="M87" s="535"/>
      <c r="N87" s="169"/>
      <c r="O87" s="169"/>
      <c r="P87" s="263"/>
      <c r="BF87" s="20">
        <v>1</v>
      </c>
      <c r="BG87" s="20">
        <f>IF(I87/G87&gt;100%,100%,I87/G87)</f>
      </c>
    </row>
    <row r="88" ht="14.1" customHeight="1">
      <c r="B88" s="51"/>
      <c r="C88" s="64"/>
      <c r="E88" s="65"/>
      <c r="F88" s="4"/>
      <c r="G88" s="65"/>
      <c r="I88" s="65"/>
      <c r="K88" s="157"/>
      <c r="N88" s="157"/>
      <c r="O88" s="64"/>
      <c r="P88" s="263"/>
      <c r="BF88" s="20"/>
      <c r="BG88" s="20"/>
    </row>
    <row r="89" ht="21" customHeight="1">
      <c r="B89" s="51"/>
      <c r="C89" s="148" t="s">
        <v>141</v>
      </c>
      <c r="E89" s="149" t="s">
        <v>142</v>
      </c>
      <c r="F89" s="4"/>
      <c r="G89" s="150">
        <f>G25</f>
      </c>
      <c r="I89" s="150">
        <f>O78</f>
      </c>
      <c r="K89" s="536">
        <f>IF(G89&lt;I89,"Congratulations! You can Proceed to Next Level",G89-I89)</f>
      </c>
      <c r="L89" s="536"/>
      <c r="M89" s="536"/>
      <c r="N89" s="74"/>
      <c r="O89" s="74"/>
      <c r="P89" s="263"/>
      <c r="BF89" s="20">
        <v>1</v>
      </c>
      <c r="BG89" s="20">
        <f>IF(I89/G89&gt;100%,100%,I89/G89)</f>
      </c>
    </row>
    <row r="90" ht="14.1" customHeight="1">
      <c r="B90" s="51"/>
      <c r="C90" s="64"/>
      <c r="E90" s="65"/>
      <c r="F90" s="4"/>
      <c r="G90" s="65"/>
      <c r="I90" s="65"/>
      <c r="K90" s="157"/>
      <c r="N90" s="157"/>
      <c r="O90" s="64"/>
      <c r="P90" s="263"/>
      <c r="BF90" s="20"/>
      <c r="BG90" s="20"/>
    </row>
    <row r="91" ht="21" customHeight="1">
      <c r="B91" s="51"/>
      <c r="C91" s="136" t="s">
        <v>143</v>
      </c>
      <c r="E91" s="137" t="s">
        <v>144</v>
      </c>
      <c r="F91" s="4"/>
      <c r="G91" s="138">
        <f>G27</f>
      </c>
      <c r="I91" s="138">
        <f>O78</f>
      </c>
      <c r="K91" s="537">
        <f>IF(G91&lt;I91,"Congratulations! You can Proceed to Next Level",G91-I91)</f>
      </c>
      <c r="L91" s="537"/>
      <c r="M91" s="537"/>
      <c r="N91" s="74"/>
      <c r="O91" s="74"/>
      <c r="P91" s="263"/>
      <c r="BF91" s="20">
        <v>1</v>
      </c>
      <c r="BG91" s="20">
        <f>IF(I91/G91&gt;100%,100%,I91/G91)</f>
      </c>
    </row>
    <row r="92" ht="14.1" customHeight="1">
      <c r="B92" s="51"/>
      <c r="C92" s="64"/>
      <c r="E92" s="65"/>
      <c r="F92" s="4"/>
      <c r="G92" s="65"/>
      <c r="I92" s="65"/>
      <c r="K92" s="157"/>
      <c r="N92" s="157"/>
      <c r="O92" s="64"/>
      <c r="P92" s="263"/>
      <c r="BF92" s="20"/>
      <c r="BG92" s="20"/>
    </row>
    <row r="93" ht="21" customHeight="1">
      <c r="B93" s="51"/>
      <c r="C93" s="151" t="s">
        <v>145</v>
      </c>
      <c r="E93" s="152" t="s">
        <v>146</v>
      </c>
      <c r="F93" s="4"/>
      <c r="G93" s="153">
        <f>G29</f>
      </c>
      <c r="I93" s="153">
        <f>O78</f>
      </c>
      <c r="K93" s="530">
        <f>IF(G93&lt;I93,"Congratulations! You can Proceed to Next Level",G93-I93)</f>
      </c>
      <c r="L93" s="530"/>
      <c r="M93" s="530"/>
      <c r="N93" s="74"/>
      <c r="O93" s="74"/>
      <c r="P93" s="263"/>
      <c r="BF93" s="20">
        <v>1</v>
      </c>
      <c r="BG93" s="20">
        <f>IF(I93/G93&gt;100%,100%,I93/G93)</f>
      </c>
    </row>
    <row r="94" ht="14.1" customHeight="1">
      <c r="B94" s="51"/>
      <c r="C94" s="101"/>
      <c r="D94" s="16"/>
      <c r="E94" s="102"/>
      <c r="F94" s="16"/>
      <c r="G94" s="75"/>
      <c r="I94" s="74"/>
      <c r="K94" s="158"/>
      <c r="N94" s="158"/>
      <c r="O94" s="158"/>
      <c r="P94" s="263"/>
      <c r="BF94" s="20"/>
      <c r="BG94" s="20"/>
    </row>
    <row r="95" ht="21" customHeight="1">
      <c r="B95" s="51"/>
      <c r="C95" s="110" t="s">
        <v>147</v>
      </c>
      <c r="E95" s="111" t="s">
        <v>148</v>
      </c>
      <c r="F95" s="4"/>
      <c r="G95" s="112">
        <f>G31</f>
      </c>
      <c r="I95" s="112">
        <f>O78</f>
      </c>
      <c r="K95" s="531">
        <f>IF(G95&lt;I95,"Congratulations! You can Proceed to Next Level",G95-I95)</f>
      </c>
      <c r="L95" s="531"/>
      <c r="M95" s="531"/>
      <c r="N95" s="74"/>
      <c r="O95" s="74"/>
      <c r="P95" s="263"/>
      <c r="BF95" s="20">
        <v>1</v>
      </c>
      <c r="BG95" s="20">
        <f>IF(I95/G95&gt;100%,100%,I95/G95)</f>
      </c>
    </row>
    <row r="96" ht="14.1" customHeight="1">
      <c r="B96" s="51"/>
      <c r="C96" s="101"/>
      <c r="D96" s="16"/>
      <c r="E96" s="102"/>
      <c r="F96" s="16"/>
      <c r="G96" s="75"/>
      <c r="I96" s="74"/>
      <c r="K96" s="158"/>
      <c r="N96" s="158"/>
      <c r="O96" s="158"/>
      <c r="P96" s="263"/>
      <c r="BF96" s="20"/>
      <c r="BG96" s="20"/>
    </row>
    <row r="97" ht="21" customHeight="1">
      <c r="B97" s="51"/>
      <c r="C97" s="131" t="s">
        <v>149</v>
      </c>
      <c r="E97" s="132" t="s">
        <v>150</v>
      </c>
      <c r="F97" s="4"/>
      <c r="G97" s="133">
        <f>G33</f>
      </c>
      <c r="I97" s="133">
        <f>O78</f>
      </c>
      <c r="K97" s="532">
        <f>IF(G97&lt;I97,"Congratulations! You can Proceed to Next Level",G97-I97)</f>
      </c>
      <c r="L97" s="532"/>
      <c r="M97" s="532"/>
      <c r="N97" s="74"/>
      <c r="O97" s="74"/>
      <c r="P97" s="263"/>
      <c r="BF97" s="20">
        <v>1</v>
      </c>
      <c r="BG97" s="20">
        <f>IF(I97/G97&gt;100%,100%,I97/G97)</f>
      </c>
    </row>
    <row r="98" ht="9.9499999999999993" customHeight="1">
      <c r="B98" s="53"/>
      <c r="C98" s="7"/>
      <c r="D98" s="7"/>
      <c r="E98" s="7"/>
      <c r="F98" s="7"/>
      <c r="G98" s="7"/>
      <c r="H98" s="8"/>
      <c r="I98" s="8"/>
      <c r="J98" s="8"/>
      <c r="K98" s="7"/>
      <c r="L98" s="8"/>
      <c r="M98" s="7"/>
      <c r="N98" s="8"/>
      <c r="O98" s="7"/>
      <c r="P98" s="264"/>
    </row>
    <row r="100">
      <c r="B100" s="47"/>
      <c r="C100" s="5"/>
      <c r="D100" s="5"/>
      <c r="E100" s="5"/>
      <c r="F100" s="5"/>
      <c r="G100" s="5"/>
      <c r="H100" s="6"/>
      <c r="I100" s="6"/>
      <c r="J100" s="6"/>
      <c r="K100" s="5"/>
      <c r="L100" s="6"/>
      <c r="M100" s="5"/>
      <c r="N100" s="6"/>
      <c r="O100" s="5"/>
      <c r="P100" s="262"/>
    </row>
    <row r="101">
      <c r="B101" s="51"/>
      <c r="P101" s="263"/>
    </row>
    <row r="102">
      <c r="B102" s="51"/>
      <c r="P102" s="263"/>
    </row>
    <row r="103">
      <c r="B103" s="51"/>
      <c r="P103" s="263"/>
    </row>
    <row r="104">
      <c r="B104" s="51"/>
      <c r="P104" s="263"/>
    </row>
    <row r="105">
      <c r="B105" s="51"/>
      <c r="P105" s="263"/>
    </row>
    <row r="106">
      <c r="B106" s="51"/>
      <c r="P106" s="263"/>
    </row>
    <row r="107">
      <c r="B107" s="51"/>
      <c r="P107" s="263"/>
    </row>
    <row r="108">
      <c r="B108" s="51"/>
      <c r="P108" s="263"/>
    </row>
    <row r="109">
      <c r="B109" s="51"/>
      <c r="P109" s="263"/>
    </row>
    <row r="110">
      <c r="B110" s="51"/>
      <c r="P110" s="263"/>
    </row>
    <row r="111">
      <c r="B111" s="51"/>
      <c r="P111" s="263"/>
    </row>
    <row r="112">
      <c r="B112" s="51"/>
      <c r="P112" s="263"/>
    </row>
    <row r="113">
      <c r="B113" s="51"/>
      <c r="P113" s="263"/>
    </row>
    <row r="114">
      <c r="B114" s="51"/>
      <c r="P114" s="263"/>
    </row>
    <row r="115">
      <c r="B115" s="51"/>
      <c r="P115" s="263"/>
    </row>
    <row r="116">
      <c r="B116" s="51"/>
      <c r="P116" s="263"/>
    </row>
    <row r="117">
      <c r="B117" s="51"/>
      <c r="P117" s="263"/>
    </row>
    <row r="118">
      <c r="B118" s="51"/>
      <c r="P118" s="263"/>
    </row>
    <row r="119">
      <c r="B119" s="51"/>
      <c r="P119" s="263"/>
    </row>
    <row r="120" ht="10.5" customHeight="1">
      <c r="B120" s="53"/>
      <c r="C120" s="7"/>
      <c r="D120" s="7"/>
      <c r="E120" s="7"/>
      <c r="F120" s="7"/>
      <c r="G120" s="7"/>
      <c r="H120" s="8"/>
      <c r="I120" s="8"/>
      <c r="J120" s="8"/>
      <c r="K120" s="7"/>
      <c r="L120" s="8"/>
      <c r="M120" s="7"/>
      <c r="N120" s="8"/>
      <c r="O120" s="7"/>
      <c r="P120" s="264"/>
    </row>
    <row r="122" ht="23.45">
      <c r="B122" s="488" t="s">
        <v>326</v>
      </c>
      <c r="C122" s="488"/>
      <c r="D122" s="488"/>
      <c r="E122" s="488"/>
      <c r="F122" s="488"/>
      <c r="G122" s="488"/>
      <c r="H122" s="488"/>
      <c r="I122" s="488"/>
      <c r="J122" s="488"/>
      <c r="K122" s="488"/>
      <c r="L122" s="488"/>
      <c r="M122" s="488"/>
      <c r="N122" s="488"/>
      <c r="O122" s="488"/>
      <c r="P122" s="488"/>
    </row>
    <row r="123" ht="15.95">
      <c r="B123" s="56" t="s">
        <v>327</v>
      </c>
    </row>
    <row r="124" ht="4.7" customHeight="1"/>
    <row r="125" ht="22.7" customHeight="1">
      <c r="B125" s="47"/>
      <c r="C125" s="491" t="s">
        <v>309</v>
      </c>
      <c r="D125" s="5"/>
      <c r="E125" s="489" t="s">
        <v>310</v>
      </c>
      <c r="F125" s="5"/>
      <c r="G125" s="491" t="s">
        <v>311</v>
      </c>
      <c r="H125" s="6"/>
      <c r="I125" s="491" t="s">
        <v>328</v>
      </c>
      <c r="J125" s="6"/>
      <c r="K125" s="491" t="s">
        <v>329</v>
      </c>
      <c r="L125" s="6"/>
      <c r="M125" s="59" t="s">
        <v>135</v>
      </c>
      <c r="N125" s="11"/>
      <c r="O125" s="59" t="s">
        <v>136</v>
      </c>
      <c r="P125" s="262"/>
      <c r="R125" s="534" t="s">
        <v>330</v>
      </c>
      <c r="S125" s="534"/>
      <c r="T125" s="534"/>
      <c r="U125" s="534"/>
      <c r="V125" s="534"/>
    </row>
    <row r="126" ht="32.1">
      <c r="B126" s="51"/>
      <c r="C126" s="492"/>
      <c r="E126" s="490"/>
      <c r="G126" s="492"/>
      <c r="I126" s="492"/>
      <c r="K126" s="492"/>
      <c r="M126" s="61" t="s">
        <v>137</v>
      </c>
      <c r="N126" s="12"/>
      <c r="O126" s="61" t="s">
        <v>138</v>
      </c>
      <c r="P126" s="263"/>
    </row>
    <row r="127">
      <c r="B127" s="51"/>
      <c r="G127" s="81"/>
      <c r="L127" s="16"/>
      <c r="O127" s="81"/>
      <c r="P127" s="268"/>
      <c r="R127" s="270" t="s">
        <v>331</v>
      </c>
      <c r="S127" s="271" t="s">
        <v>332</v>
      </c>
      <c r="T127" s="272"/>
      <c r="U127" s="270" t="s">
        <v>333</v>
      </c>
      <c r="V127" s="270">
        <f>O14</f>
      </c>
      <c r="W127" s="273"/>
      <c r="X127" s="273"/>
    </row>
    <row r="128" ht="21" customHeight="1">
      <c r="B128" s="51"/>
      <c r="C128" s="103" t="s">
        <v>139</v>
      </c>
      <c r="E128" s="104" t="s">
        <v>140</v>
      </c>
      <c r="F128" s="4"/>
      <c r="G128" s="105">
        <f>G87</f>
      </c>
      <c r="I128" s="105">
        <f>O78</f>
      </c>
      <c r="K128" s="106">
        <f>G87-I87</f>
      </c>
      <c r="L128" s="17"/>
      <c r="M128" s="249">
        <f>IF(I87&gt;G87,"NIL",R128)</f>
      </c>
      <c r="N128" s="14"/>
      <c r="O128" s="249">
        <f>IF(I87&gt;G87,"NIL",S128)</f>
      </c>
      <c r="P128" s="263"/>
      <c r="R128" s="278">
        <f>PMT($V$129,$V$127*12,,-K128,1)</f>
      </c>
      <c r="S128" s="274">
        <f>PV($V$128,$V$127,,-K128,0)</f>
      </c>
      <c r="T128" s="273"/>
      <c r="U128" s="270" t="s">
        <v>334</v>
      </c>
      <c r="V128" s="275">
        <f>IF(V127&lt;3,6%,IF(V127&lt;6,8%,IF(V127&lt;10,10%,12%)))</f>
      </c>
      <c r="W128" s="273"/>
      <c r="X128" s="273"/>
    </row>
    <row r="129">
      <c r="B129" s="51"/>
      <c r="C129" s="64"/>
      <c r="E129" s="65"/>
      <c r="F129" s="4"/>
      <c r="G129" s="65"/>
      <c r="K129" s="169"/>
      <c r="L129" s="16"/>
      <c r="M129" s="14"/>
      <c r="N129" s="14"/>
      <c r="O129" s="84"/>
      <c r="P129" s="263"/>
      <c r="R129" s="279"/>
      <c r="S129" s="273"/>
      <c r="T129" s="273"/>
      <c r="U129" s="270" t="s">
        <v>335</v>
      </c>
      <c r="V129" s="276">
        <f>(1+V128)^(1/12)-1</f>
      </c>
      <c r="W129" s="273"/>
      <c r="X129" s="273"/>
    </row>
    <row r="130" ht="21" customHeight="1">
      <c r="B130" s="51"/>
      <c r="C130" s="148" t="s">
        <v>141</v>
      </c>
      <c r="E130" s="149" t="s">
        <v>142</v>
      </c>
      <c r="F130" s="4"/>
      <c r="G130" s="150">
        <f>G89</f>
      </c>
      <c r="I130" s="150">
        <f>O78</f>
      </c>
      <c r="K130" s="170">
        <f>G89-I89</f>
      </c>
      <c r="L130" s="16"/>
      <c r="M130" s="154">
        <f>IF(I89&gt;G89,"NIL",R130)</f>
      </c>
      <c r="N130" s="14"/>
      <c r="O130" s="154">
        <f>IF(I89&gt;G89,"NIL",S130)</f>
      </c>
      <c r="P130" s="263"/>
      <c r="R130" s="278">
        <f>PMT($V$129,$V$127*12,,-K130,1)</f>
      </c>
      <c r="S130" s="274">
        <f>PV($V$128,$V$127,,-K130,0)</f>
      </c>
      <c r="T130" s="273"/>
      <c r="U130" s="273"/>
      <c r="V130" s="273"/>
      <c r="W130" s="273"/>
      <c r="X130" s="273"/>
    </row>
    <row r="131">
      <c r="B131" s="51"/>
      <c r="C131" s="64"/>
      <c r="E131" s="65"/>
      <c r="F131" s="4"/>
      <c r="G131" s="65"/>
      <c r="K131" s="169"/>
      <c r="L131" s="16"/>
      <c r="M131" s="14"/>
      <c r="N131" s="14"/>
      <c r="O131" s="84"/>
      <c r="P131" s="263"/>
      <c r="R131" s="279"/>
      <c r="S131" s="273"/>
      <c r="T131" s="273"/>
      <c r="U131" s="273"/>
      <c r="V131" s="273"/>
      <c r="W131" s="273"/>
      <c r="X131" s="273"/>
    </row>
    <row r="132" ht="21" customHeight="1">
      <c r="B132" s="51"/>
      <c r="C132" s="136" t="s">
        <v>143</v>
      </c>
      <c r="E132" s="137" t="s">
        <v>144</v>
      </c>
      <c r="F132" s="4"/>
      <c r="G132" s="138">
        <f>G91</f>
      </c>
      <c r="I132" s="138">
        <f>O78</f>
      </c>
      <c r="K132" s="171">
        <f>G91-I91</f>
      </c>
      <c r="L132" s="16"/>
      <c r="M132" s="139">
        <f>IF(I91&gt;G91,"NIL",R132)</f>
      </c>
      <c r="N132" s="14"/>
      <c r="O132" s="139">
        <f>IF(I91&gt;G91,"NIL",S132)</f>
      </c>
      <c r="P132" s="263"/>
      <c r="R132" s="278">
        <f>PMT($V$129,$V$127*12,,-K132,1)</f>
      </c>
      <c r="S132" s="274">
        <f>PV($V$128,$V$127,,-K132,0)</f>
      </c>
      <c r="T132" s="273"/>
      <c r="U132" s="273"/>
      <c r="V132" s="273"/>
      <c r="W132" s="273"/>
      <c r="X132" s="273"/>
    </row>
    <row r="133">
      <c r="B133" s="51"/>
      <c r="C133" s="64"/>
      <c r="E133" s="65"/>
      <c r="F133" s="4"/>
      <c r="G133" s="65"/>
      <c r="K133" s="169"/>
      <c r="L133" s="16"/>
      <c r="M133" s="14"/>
      <c r="N133" s="14"/>
      <c r="O133" s="84"/>
      <c r="P133" s="263"/>
      <c r="R133" s="279"/>
      <c r="S133" s="273"/>
      <c r="T133" s="273"/>
      <c r="U133" s="273"/>
      <c r="V133" s="273"/>
      <c r="W133" s="273"/>
      <c r="X133" s="273"/>
    </row>
    <row r="134" ht="21" customHeight="1">
      <c r="B134" s="51"/>
      <c r="C134" s="151" t="s">
        <v>145</v>
      </c>
      <c r="E134" s="152" t="s">
        <v>146</v>
      </c>
      <c r="F134" s="4"/>
      <c r="G134" s="153">
        <f>G93</f>
      </c>
      <c r="I134" s="153">
        <f>O78</f>
      </c>
      <c r="K134" s="172">
        <f>G93-I93</f>
      </c>
      <c r="L134" s="16"/>
      <c r="M134" s="155">
        <f>IF(I93&gt;G93,"NIL",R134)</f>
      </c>
      <c r="N134" s="14"/>
      <c r="O134" s="155">
        <f>IF(I93&gt;G93,"NIL",S134)</f>
      </c>
      <c r="P134" s="263"/>
      <c r="R134" s="278">
        <f>PMT($V$129,$V$127*12,,-K134,1)</f>
      </c>
      <c r="S134" s="274">
        <f>PV($V$128,$V$127,,-K134,0)</f>
      </c>
      <c r="T134" s="273"/>
      <c r="U134" s="273"/>
      <c r="V134" s="273"/>
      <c r="W134" s="273"/>
      <c r="X134" s="273"/>
    </row>
    <row r="135" ht="14.45" customHeight="1">
      <c r="B135" s="51"/>
      <c r="C135" s="101"/>
      <c r="D135" s="16"/>
      <c r="E135" s="102"/>
      <c r="F135" s="16"/>
      <c r="G135" s="75"/>
      <c r="K135" s="169"/>
      <c r="L135" s="16"/>
      <c r="M135" s="113"/>
      <c r="N135" s="14"/>
      <c r="O135" s="113"/>
      <c r="P135" s="263"/>
      <c r="R135" s="278"/>
      <c r="S135" s="274"/>
      <c r="T135" s="273"/>
      <c r="U135" s="273"/>
      <c r="V135" s="273"/>
      <c r="W135" s="273"/>
      <c r="X135" s="273"/>
    </row>
    <row r="136" ht="21" customHeight="1">
      <c r="B136" s="51"/>
      <c r="C136" s="110" t="s">
        <v>147</v>
      </c>
      <c r="E136" s="111" t="s">
        <v>148</v>
      </c>
      <c r="F136" s="4"/>
      <c r="G136" s="112">
        <f>G95</f>
      </c>
      <c r="I136" s="112">
        <f>O78</f>
      </c>
      <c r="K136" s="173">
        <f>G95-I95</f>
      </c>
      <c r="L136" s="16"/>
      <c r="M136" s="115">
        <f>IF(I95&gt;G95,"NIL",R136)</f>
      </c>
      <c r="N136" s="14"/>
      <c r="O136" s="115">
        <f>IF(I95&gt;G95,"NIL",S136)</f>
      </c>
      <c r="P136" s="263"/>
      <c r="R136" s="278">
        <f>PMT($V$129,$V$127*12,,-K136,1)</f>
      </c>
      <c r="S136" s="274">
        <f>PV($V$128,$V$127,,-K136,0)</f>
      </c>
      <c r="T136" s="273"/>
      <c r="U136" s="273"/>
      <c r="V136" s="273"/>
      <c r="W136" s="273"/>
      <c r="X136" s="273"/>
    </row>
    <row r="137" ht="14.45" customHeight="1">
      <c r="B137" s="51"/>
      <c r="C137" s="101"/>
      <c r="D137" s="16"/>
      <c r="E137" s="102"/>
      <c r="F137" s="16"/>
      <c r="G137" s="75"/>
      <c r="K137" s="169"/>
      <c r="L137" s="16"/>
      <c r="M137" s="113"/>
      <c r="N137" s="14"/>
      <c r="O137" s="113"/>
      <c r="P137" s="263"/>
      <c r="R137" s="278"/>
      <c r="S137" s="274"/>
    </row>
    <row r="138" ht="21" customHeight="1">
      <c r="B138" s="51"/>
      <c r="C138" s="131" t="s">
        <v>149</v>
      </c>
      <c r="E138" s="132" t="s">
        <v>150</v>
      </c>
      <c r="F138" s="4"/>
      <c r="G138" s="133">
        <f>G97</f>
      </c>
      <c r="I138" s="133">
        <f>O78</f>
      </c>
      <c r="K138" s="174">
        <f>G97-I97</f>
      </c>
      <c r="L138" s="16"/>
      <c r="M138" s="134">
        <f>IF(I97&gt;G97,"NIL",R138)</f>
      </c>
      <c r="N138" s="14"/>
      <c r="O138" s="134">
        <f>IF(I97&gt;G97,"NIL",S138)</f>
      </c>
      <c r="P138" s="263"/>
      <c r="R138" s="278">
        <f>PMT($V$129,$V$127*12,,-K138,1)</f>
      </c>
      <c r="S138" s="274">
        <f>PV($V$128,$V$127,,-K138,0)</f>
      </c>
    </row>
    <row r="139" ht="8.85" customHeight="1">
      <c r="B139" s="53"/>
      <c r="C139" s="7"/>
      <c r="D139" s="7"/>
      <c r="E139" s="7"/>
      <c r="F139" s="7"/>
      <c r="G139" s="7"/>
      <c r="H139" s="8"/>
      <c r="I139" s="8"/>
      <c r="J139" s="8"/>
      <c r="K139" s="7"/>
      <c r="L139" s="8"/>
      <c r="M139" s="7"/>
      <c r="N139" s="8"/>
      <c r="O139" s="7"/>
      <c r="P139" s="264"/>
    </row>
    <row r="140" ht="8.85" customHeight="1"/>
    <row r="153">
      <c r="K153" s="87"/>
    </row>
    <row r="158" ht="28.35" customHeight="1">
      <c r="B158" s="556" t="s">
        <v>336</v>
      </c>
      <c r="C158" s="556"/>
      <c r="D158" s="556"/>
      <c r="E158" s="556"/>
      <c r="F158" s="556"/>
      <c r="G158" s="556"/>
      <c r="H158" s="556"/>
      <c r="I158" s="556"/>
      <c r="J158" s="556"/>
      <c r="K158" s="556"/>
      <c r="L158" s="556"/>
      <c r="M158" s="556"/>
      <c r="N158" s="556"/>
      <c r="O158" s="556"/>
      <c r="P158" s="556"/>
    </row>
    <row r="159" ht="7.7" customHeight="1"/>
    <row r="160" ht="31.15" customHeight="1">
      <c r="B160" s="251"/>
      <c r="C160" s="251"/>
      <c r="D160" s="251"/>
      <c r="E160" s="557" t="s">
        <v>337</v>
      </c>
      <c r="F160" s="557"/>
      <c r="G160" s="557"/>
      <c r="H160" s="557"/>
      <c r="I160" s="557"/>
      <c r="J160" s="557"/>
      <c r="K160" s="557"/>
      <c r="L160" s="250"/>
      <c r="M160" s="288"/>
      <c r="N160" s="251"/>
      <c r="O160" s="558"/>
      <c r="P160" s="558"/>
    </row>
    <row r="161" ht="11.1" customHeight="1"/>
    <row r="162" ht="60.4" customHeight="1">
      <c r="B162" s="555" t="s">
        <v>176</v>
      </c>
      <c r="C162" s="555"/>
      <c r="D162" s="555"/>
      <c r="E162" s="555"/>
      <c r="F162" s="555"/>
      <c r="G162" s="555"/>
      <c r="H162" s="555"/>
      <c r="I162" s="555"/>
      <c r="J162" s="555"/>
      <c r="K162" s="555"/>
      <c r="L162" s="555"/>
      <c r="M162" s="555"/>
      <c r="N162" s="555"/>
      <c r="O162" s="555"/>
      <c r="P162" s="555"/>
    </row>
  </sheetData>
  <sheetProtection algorithmName="SHA-512" hashValue="Ye4saWirDSwza1QWEIAQR0oCaNdLaCQvdJ4WUgSHOnm4wbICUlhEEekTMQKDxSIh94nxAhPa8HQp+zfqWuFBNA==" saltValue="vLSKRtz59xs4BKsox04xSw==" spinCount="100000" sheet="1" objects="1" scenarios="1" selectLockedCells="1"/>
  <mergeCells count="53">
    <mergeCell ref="B162:P162"/>
    <mergeCell ref="B122:P122"/>
    <mergeCell ref="C125:C126"/>
    <mergeCell ref="E125:E126"/>
    <mergeCell ref="G125:G126"/>
    <mergeCell ref="K125:K126"/>
    <mergeCell ref="B158:P158"/>
    <mergeCell ref="E160:K160"/>
    <mergeCell ref="O160:P160"/>
    <mergeCell ref="B16:P16"/>
    <mergeCell ref="C19:C20"/>
    <mergeCell ref="E19:E20"/>
    <mergeCell ref="G19:G20"/>
    <mergeCell ref="B14:M14"/>
    <mergeCell ref="D19:D20"/>
    <mergeCell ref="F19:F20"/>
    <mergeCell ref="H19:H20"/>
    <mergeCell ref="I19:O20"/>
    <mergeCell ref="C8:E8"/>
    <mergeCell ref="M8:O8"/>
    <mergeCell ref="C10:E10"/>
    <mergeCell ref="I8:K8"/>
    <mergeCell ref="C11:E11"/>
    <mergeCell ref="M11:O11"/>
    <mergeCell ref="M10:O10"/>
    <mergeCell ref="B2:E2"/>
    <mergeCell ref="F2:P2"/>
    <mergeCell ref="C7:E7"/>
    <mergeCell ref="M7:O7"/>
    <mergeCell ref="B4:L4"/>
    <mergeCell ref="N4:P4"/>
    <mergeCell ref="I7:K7"/>
    <mergeCell ref="BF85:BG85"/>
    <mergeCell ref="R125:V125"/>
    <mergeCell ref="K87:M87"/>
    <mergeCell ref="K89:M89"/>
    <mergeCell ref="K91:M91"/>
    <mergeCell ref="K85:M85"/>
    <mergeCell ref="I33:O33"/>
    <mergeCell ref="B37:P37"/>
    <mergeCell ref="B82:P82"/>
    <mergeCell ref="I125:I126"/>
    <mergeCell ref="K93:M93"/>
    <mergeCell ref="K95:M95"/>
    <mergeCell ref="K97:M97"/>
    <mergeCell ref="E85:E86"/>
    <mergeCell ref="C85:C86"/>
    <mergeCell ref="G85:G86"/>
    <mergeCell ref="I23:O23"/>
    <mergeCell ref="I25:O25"/>
    <mergeCell ref="I27:O27"/>
    <mergeCell ref="I29:O29"/>
    <mergeCell ref="I31:O31"/>
  </mergeCells>
  <hyperlinks>
    <hyperlink ref="I8" r:id="rId1" xr:uid="{00000000-0004-0000-06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O10"/>
  <sheetViews>
    <sheetView workbookViewId="0">
      <selection activeCell="M4" sqref="M4"/>
    </sheetView>
  </sheetViews>
  <sheetFormatPr defaultRowHeight="14.45"/>
  <cols>
    <col min="1" max="2" width="8.85546875" style="1"/>
    <col min="3" max="3" width="9.7109375" style="161" customWidth="1"/>
    <col min="4" max="9" width="18.7109375" customWidth="1"/>
    <col min="10" max="15" width="8.85546875" style="1"/>
  </cols>
  <sheetData>
    <row r="3" s="1" customFormat="1" ht="27.95">
      <c r="C3" s="559" t="s">
        <v>338</v>
      </c>
      <c r="D3" s="559"/>
      <c r="E3" s="559"/>
      <c r="F3" s="559"/>
      <c r="G3" s="559"/>
      <c r="H3" s="559"/>
      <c r="I3" s="559"/>
    </row>
    <row r="4" s="164" customFormat="1" ht="45" customHeight="1">
      <c r="C4" s="167" t="s">
        <v>339</v>
      </c>
      <c r="D4" s="167" t="s">
        <v>340</v>
      </c>
      <c r="E4" s="167" t="s">
        <v>341</v>
      </c>
      <c r="F4" s="167" t="s">
        <v>342</v>
      </c>
      <c r="G4" s="167" t="s">
        <v>343</v>
      </c>
      <c r="H4" s="167" t="s">
        <v>344</v>
      </c>
      <c r="I4" s="167" t="s">
        <v>345</v>
      </c>
    </row>
    <row r="5" s="2" customFormat="1" ht="36" customHeight="1">
      <c r="C5" s="168" t="s">
        <v>346</v>
      </c>
      <c r="D5" s="165"/>
      <c r="E5" s="166"/>
      <c r="F5" s="166"/>
      <c r="G5" s="166"/>
      <c r="H5" s="166"/>
      <c r="I5" s="166"/>
    </row>
    <row r="6" s="2" customFormat="1" ht="36" customHeight="1">
      <c r="C6" s="168" t="s">
        <v>141</v>
      </c>
      <c r="D6" s="166"/>
      <c r="E6" s="166"/>
      <c r="F6" s="166"/>
      <c r="G6" s="166"/>
      <c r="H6" s="166"/>
      <c r="I6" s="166"/>
    </row>
    <row r="7" s="2" customFormat="1" ht="36" customHeight="1">
      <c r="C7" s="168" t="s">
        <v>143</v>
      </c>
      <c r="D7" s="166"/>
      <c r="E7" s="166"/>
      <c r="F7" s="166"/>
      <c r="G7" s="166"/>
      <c r="H7" s="166"/>
      <c r="I7" s="166"/>
    </row>
    <row r="8" s="2" customFormat="1" ht="36" customHeight="1">
      <c r="C8" s="168" t="s">
        <v>145</v>
      </c>
      <c r="D8" s="166"/>
      <c r="E8" s="166"/>
      <c r="F8" s="166"/>
      <c r="G8" s="166"/>
      <c r="H8" s="166"/>
      <c r="I8" s="166"/>
    </row>
    <row r="9" s="2" customFormat="1" ht="36" customHeight="1">
      <c r="C9" s="168" t="s">
        <v>147</v>
      </c>
      <c r="D9" s="166"/>
      <c r="E9" s="166"/>
      <c r="F9" s="166"/>
      <c r="G9" s="166"/>
      <c r="H9" s="166"/>
      <c r="I9" s="166"/>
    </row>
    <row r="10" s="2" customFormat="1" ht="36" customHeight="1">
      <c r="C10" s="168" t="s">
        <v>149</v>
      </c>
      <c r="D10" s="166"/>
      <c r="E10" s="166"/>
      <c r="F10" s="166"/>
      <c r="G10" s="166"/>
      <c r="H10" s="166"/>
      <c r="I10" s="166"/>
    </row>
  </sheetData>
  <mergeCells count="1">
    <mergeCell ref="C3:I3"/>
  </mergeCells>
  <phoneticPr fontId="48"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L41"/>
  <sheetViews>
    <sheetView workbookViewId="0">
      <selection activeCell="B25" sqref="B25"/>
    </sheetView>
  </sheetViews>
  <sheetFormatPr defaultRowHeight="14.45"/>
  <cols>
    <col min="1" max="1" width="14.7109375" customWidth="1"/>
    <col min="2" max="2" width="24.28515625" customWidth="1"/>
    <col min="3" max="3" width="14.7109375" customWidth="1"/>
    <col min="4" max="4" width="16.28515625" customWidth="1"/>
    <col min="5" max="5" width="15.85546875" customWidth="1"/>
    <col min="6" max="6" width="14.140625" customWidth="1"/>
    <col min="7" max="7" width="16.7109375" customWidth="1"/>
    <col min="8" max="8" width="17.7109375" customWidth="1"/>
    <col min="9" max="9" width="18" customWidth="1"/>
    <col min="10" max="10" width="15.140625" customWidth="1"/>
    <col min="11" max="11" width="16.28515625" customWidth="1"/>
    <col min="12" max="12" width="17.42578125" customWidth="1"/>
  </cols>
  <sheetData>
    <row r="2" ht="18.95" thickBot="1">
      <c r="A2" s="26"/>
      <c r="B2" s="566" t="s">
        <v>347</v>
      </c>
      <c r="C2" s="566"/>
      <c r="D2" s="566"/>
      <c r="E2" s="566"/>
      <c r="F2" s="566"/>
      <c r="G2" s="566"/>
      <c r="H2" s="566"/>
      <c r="I2" s="566"/>
      <c r="J2" s="566"/>
      <c r="K2" s="566"/>
      <c r="L2" s="567"/>
    </row>
    <row r="3">
      <c r="A3" s="27" t="inlineStr">
        <is>
          <t xml:space="preserve">DATE:</t>
        </is>
      </c>
      <c r="B3" s="568"/>
      <c r="C3" s="569"/>
      <c r="D3" s="569"/>
      <c r="E3" s="569"/>
      <c r="F3" s="569"/>
      <c r="G3" s="569"/>
      <c r="H3" s="569"/>
      <c r="I3" s="569"/>
      <c r="J3" s="569"/>
      <c r="K3" s="569"/>
      <c r="L3" s="570"/>
    </row>
    <row r="4">
      <c r="A4" s="27"/>
      <c r="B4" s="560"/>
      <c r="C4" s="561"/>
      <c r="D4" s="561"/>
      <c r="E4" s="561"/>
      <c r="F4" s="561"/>
      <c r="G4" s="561"/>
      <c r="H4" s="561"/>
      <c r="I4" s="561"/>
      <c r="J4" s="561"/>
      <c r="K4" s="561"/>
      <c r="L4" s="562"/>
    </row>
    <row r="5">
      <c r="A5" s="27"/>
      <c r="B5" s="560"/>
      <c r="C5" s="561"/>
      <c r="D5" s="561"/>
      <c r="E5" s="561"/>
      <c r="F5" s="561"/>
      <c r="G5" s="561"/>
      <c r="H5" s="561"/>
      <c r="I5" s="561"/>
      <c r="J5" s="561"/>
      <c r="K5" s="561"/>
      <c r="L5" s="562"/>
    </row>
    <row r="6">
      <c r="A6" s="27"/>
      <c r="B6" s="560"/>
      <c r="C6" s="561"/>
      <c r="D6" s="561"/>
      <c r="E6" s="561"/>
      <c r="F6" s="561"/>
      <c r="G6" s="561"/>
      <c r="H6" s="561"/>
      <c r="I6" s="561"/>
      <c r="J6" s="561"/>
      <c r="K6" s="561"/>
      <c r="L6" s="562"/>
    </row>
    <row r="7">
      <c r="A7" s="27"/>
      <c r="B7" s="560"/>
      <c r="C7" s="561"/>
      <c r="D7" s="561"/>
      <c r="E7" s="561"/>
      <c r="F7" s="561"/>
      <c r="G7" s="561"/>
      <c r="H7" s="561"/>
      <c r="I7" s="561"/>
      <c r="J7" s="561"/>
      <c r="K7" s="561"/>
      <c r="L7" s="562"/>
    </row>
    <row r="8">
      <c r="A8" s="27"/>
      <c r="B8" s="560"/>
      <c r="C8" s="561"/>
      <c r="D8" s="561"/>
      <c r="E8" s="561"/>
      <c r="F8" s="561"/>
      <c r="G8" s="561"/>
      <c r="H8" s="561"/>
      <c r="I8" s="561"/>
      <c r="J8" s="561"/>
      <c r="K8" s="561"/>
      <c r="L8" s="562"/>
    </row>
    <row r="9">
      <c r="A9" s="27"/>
      <c r="B9" s="560"/>
      <c r="C9" s="561"/>
      <c r="D9" s="561"/>
      <c r="E9" s="561"/>
      <c r="F9" s="561"/>
      <c r="G9" s="561"/>
      <c r="H9" s="561"/>
      <c r="I9" s="561"/>
      <c r="J9" s="561"/>
      <c r="K9" s="561"/>
      <c r="L9" s="562"/>
    </row>
    <row r="10">
      <c r="A10" s="27"/>
      <c r="B10" s="560"/>
      <c r="C10" s="561"/>
      <c r="D10" s="561"/>
      <c r="E10" s="561"/>
      <c r="F10" s="561"/>
      <c r="G10" s="561"/>
      <c r="H10" s="561"/>
      <c r="I10" s="561"/>
      <c r="J10" s="561"/>
      <c r="K10" s="561"/>
      <c r="L10" s="562"/>
    </row>
    <row r="11">
      <c r="A11" s="27"/>
      <c r="B11" s="560"/>
      <c r="C11" s="561"/>
      <c r="D11" s="561"/>
      <c r="E11" s="561"/>
      <c r="F11" s="561"/>
      <c r="G11" s="561"/>
      <c r="H11" s="561"/>
      <c r="I11" s="561"/>
      <c r="J11" s="561"/>
      <c r="K11" s="561"/>
      <c r="L11" s="562"/>
    </row>
    <row r="12">
      <c r="A12" s="27"/>
      <c r="B12" s="560"/>
      <c r="C12" s="561"/>
      <c r="D12" s="561"/>
      <c r="E12" s="561"/>
      <c r="F12" s="561"/>
      <c r="G12" s="561"/>
      <c r="H12" s="561"/>
      <c r="I12" s="561"/>
      <c r="J12" s="561"/>
      <c r="K12" s="561"/>
      <c r="L12" s="562"/>
    </row>
    <row r="13">
      <c r="A13" s="27"/>
      <c r="B13" s="560"/>
      <c r="C13" s="561"/>
      <c r="D13" s="561"/>
      <c r="E13" s="561"/>
      <c r="F13" s="561"/>
      <c r="G13" s="561"/>
      <c r="H13" s="561"/>
      <c r="I13" s="561"/>
      <c r="J13" s="561"/>
      <c r="K13" s="561"/>
      <c r="L13" s="562"/>
    </row>
    <row r="14">
      <c r="A14" s="27"/>
      <c r="B14" s="560"/>
      <c r="C14" s="561"/>
      <c r="D14" s="561"/>
      <c r="E14" s="561"/>
      <c r="F14" s="561"/>
      <c r="G14" s="561"/>
      <c r="H14" s="561"/>
      <c r="I14" s="561"/>
      <c r="J14" s="561"/>
      <c r="K14" s="561"/>
      <c r="L14" s="562"/>
    </row>
    <row r="15">
      <c r="A15" s="27"/>
      <c r="B15" s="560"/>
      <c r="C15" s="561"/>
      <c r="D15" s="561"/>
      <c r="E15" s="561"/>
      <c r="F15" s="561"/>
      <c r="G15" s="561"/>
      <c r="H15" s="561"/>
      <c r="I15" s="561"/>
      <c r="J15" s="561"/>
      <c r="K15" s="561"/>
      <c r="L15" s="562"/>
    </row>
    <row r="16">
      <c r="A16" s="27"/>
      <c r="B16" s="560"/>
      <c r="C16" s="561"/>
      <c r="D16" s="561"/>
      <c r="E16" s="561"/>
      <c r="F16" s="561"/>
      <c r="G16" s="561"/>
      <c r="H16" s="561"/>
      <c r="I16" s="561"/>
      <c r="J16" s="561"/>
      <c r="K16" s="561"/>
      <c r="L16" s="562"/>
    </row>
    <row r="17">
      <c r="B17" s="560"/>
      <c r="C17" s="561"/>
      <c r="D17" s="561"/>
      <c r="E17" s="561"/>
      <c r="F17" s="561"/>
      <c r="G17" s="561"/>
      <c r="H17" s="561"/>
      <c r="I17" s="561"/>
      <c r="J17" s="561"/>
      <c r="K17" s="561"/>
      <c r="L17" s="562"/>
    </row>
    <row r="18">
      <c r="B18" s="560"/>
      <c r="C18" s="561"/>
      <c r="D18" s="561"/>
      <c r="E18" s="561"/>
      <c r="F18" s="561"/>
      <c r="G18" s="561"/>
      <c r="H18" s="561"/>
      <c r="I18" s="561"/>
      <c r="J18" s="561"/>
      <c r="K18" s="561"/>
      <c r="L18" s="562"/>
    </row>
    <row r="19">
      <c r="B19" s="560"/>
      <c r="C19" s="561"/>
      <c r="D19" s="561"/>
      <c r="E19" s="561"/>
      <c r="F19" s="561"/>
      <c r="G19" s="561"/>
      <c r="H19" s="561"/>
      <c r="I19" s="561"/>
      <c r="J19" s="561"/>
      <c r="K19" s="561"/>
      <c r="L19" s="562"/>
    </row>
    <row r="20">
      <c r="B20" s="560"/>
      <c r="C20" s="561"/>
      <c r="D20" s="561"/>
      <c r="E20" s="561"/>
      <c r="F20" s="561"/>
      <c r="G20" s="561"/>
      <c r="H20" s="561"/>
      <c r="I20" s="561"/>
      <c r="J20" s="561"/>
      <c r="K20" s="561"/>
      <c r="L20" s="562"/>
    </row>
    <row r="21">
      <c r="B21" s="560"/>
      <c r="C21" s="561"/>
      <c r="D21" s="561"/>
      <c r="E21" s="561"/>
      <c r="F21" s="561"/>
      <c r="G21" s="561"/>
      <c r="H21" s="561"/>
      <c r="I21" s="561"/>
      <c r="J21" s="561"/>
      <c r="K21" s="561"/>
      <c r="L21" s="562"/>
    </row>
    <row r="22">
      <c r="B22" s="560"/>
      <c r="C22" s="561"/>
      <c r="D22" s="561"/>
      <c r="E22" s="561"/>
      <c r="F22" s="561"/>
      <c r="G22" s="561"/>
      <c r="H22" s="561"/>
      <c r="I22" s="561"/>
      <c r="J22" s="561"/>
      <c r="K22" s="561"/>
      <c r="L22" s="562"/>
    </row>
    <row r="23">
      <c r="B23" s="560"/>
      <c r="C23" s="561"/>
      <c r="D23" s="561"/>
      <c r="E23" s="561"/>
      <c r="F23" s="561"/>
      <c r="G23" s="561"/>
      <c r="H23" s="561"/>
      <c r="I23" s="561"/>
      <c r="J23" s="561"/>
      <c r="K23" s="561"/>
      <c r="L23" s="562"/>
    </row>
    <row r="24">
      <c r="B24" s="560"/>
      <c r="C24" s="561"/>
      <c r="D24" s="561"/>
      <c r="E24" s="561"/>
      <c r="F24" s="561"/>
      <c r="G24" s="561"/>
      <c r="H24" s="561"/>
      <c r="I24" s="561"/>
      <c r="J24" s="561"/>
      <c r="K24" s="561"/>
      <c r="L24" s="562"/>
    </row>
    <row r="25">
      <c r="B25" s="560"/>
      <c r="C25" s="561"/>
      <c r="D25" s="561"/>
      <c r="E25" s="561"/>
      <c r="F25" s="561"/>
      <c r="G25" s="561"/>
      <c r="H25" s="561"/>
      <c r="I25" s="561"/>
      <c r="J25" s="561"/>
      <c r="K25" s="561"/>
      <c r="L25" s="562"/>
    </row>
    <row r="26">
      <c r="B26" s="560"/>
      <c r="C26" s="561"/>
      <c r="D26" s="561"/>
      <c r="E26" s="561"/>
      <c r="F26" s="561"/>
      <c r="G26" s="561"/>
      <c r="H26" s="561"/>
      <c r="I26" s="561"/>
      <c r="J26" s="561"/>
      <c r="K26" s="561"/>
      <c r="L26" s="562"/>
    </row>
    <row r="27">
      <c r="B27" s="560"/>
      <c r="C27" s="561"/>
      <c r="D27" s="561"/>
      <c r="E27" s="561"/>
      <c r="F27" s="561"/>
      <c r="G27" s="561"/>
      <c r="H27" s="561"/>
      <c r="I27" s="561"/>
      <c r="J27" s="561"/>
      <c r="K27" s="561"/>
      <c r="L27" s="562"/>
    </row>
    <row r="28">
      <c r="B28" s="560"/>
      <c r="C28" s="561"/>
      <c r="D28" s="561"/>
      <c r="E28" s="561"/>
      <c r="F28" s="561"/>
      <c r="G28" s="561"/>
      <c r="H28" s="561"/>
      <c r="I28" s="561"/>
      <c r="J28" s="561"/>
      <c r="K28" s="561"/>
      <c r="L28" s="562"/>
    </row>
    <row r="29">
      <c r="B29" s="560"/>
      <c r="C29" s="561"/>
      <c r="D29" s="561"/>
      <c r="E29" s="561"/>
      <c r="F29" s="561"/>
      <c r="G29" s="561"/>
      <c r="H29" s="561"/>
      <c r="I29" s="561"/>
      <c r="J29" s="561"/>
      <c r="K29" s="561"/>
      <c r="L29" s="562"/>
    </row>
    <row r="30">
      <c r="B30" s="560"/>
      <c r="C30" s="561"/>
      <c r="D30" s="561"/>
      <c r="E30" s="561"/>
      <c r="F30" s="561"/>
      <c r="G30" s="561"/>
      <c r="H30" s="561"/>
      <c r="I30" s="561"/>
      <c r="J30" s="561"/>
      <c r="K30" s="561"/>
      <c r="L30" s="562"/>
    </row>
    <row r="31">
      <c r="B31" s="560"/>
      <c r="C31" s="561"/>
      <c r="D31" s="561"/>
      <c r="E31" s="561"/>
      <c r="F31" s="561"/>
      <c r="G31" s="561"/>
      <c r="H31" s="561"/>
      <c r="I31" s="561"/>
      <c r="J31" s="561"/>
      <c r="K31" s="561"/>
      <c r="L31" s="562"/>
    </row>
    <row r="32">
      <c r="B32" s="560"/>
      <c r="C32" s="561"/>
      <c r="D32" s="561"/>
      <c r="E32" s="561"/>
      <c r="F32" s="561"/>
      <c r="G32" s="561"/>
      <c r="H32" s="561"/>
      <c r="I32" s="561"/>
      <c r="J32" s="561"/>
      <c r="K32" s="561"/>
      <c r="L32" s="562"/>
    </row>
    <row r="33">
      <c r="B33" s="560"/>
      <c r="C33" s="561"/>
      <c r="D33" s="561"/>
      <c r="E33" s="561"/>
      <c r="F33" s="561"/>
      <c r="G33" s="561"/>
      <c r="H33" s="561"/>
      <c r="I33" s="561"/>
      <c r="J33" s="561"/>
      <c r="K33" s="561"/>
      <c r="L33" s="562"/>
    </row>
    <row r="34">
      <c r="B34" s="560"/>
      <c r="C34" s="561"/>
      <c r="D34" s="561"/>
      <c r="E34" s="561"/>
      <c r="F34" s="561"/>
      <c r="G34" s="561"/>
      <c r="H34" s="561"/>
      <c r="I34" s="561"/>
      <c r="J34" s="561"/>
      <c r="K34" s="561"/>
      <c r="L34" s="562"/>
    </row>
    <row r="35">
      <c r="B35" s="560"/>
      <c r="C35" s="561"/>
      <c r="D35" s="561"/>
      <c r="E35" s="561"/>
      <c r="F35" s="561"/>
      <c r="G35" s="561"/>
      <c r="H35" s="561"/>
      <c r="I35" s="561"/>
      <c r="J35" s="561"/>
      <c r="K35" s="561"/>
      <c r="L35" s="562"/>
    </row>
    <row r="36">
      <c r="B36" s="560"/>
      <c r="C36" s="561"/>
      <c r="D36" s="561"/>
      <c r="E36" s="561"/>
      <c r="F36" s="561"/>
      <c r="G36" s="561"/>
      <c r="H36" s="561"/>
      <c r="I36" s="561"/>
      <c r="J36" s="561"/>
      <c r="K36" s="561"/>
      <c r="L36" s="562"/>
    </row>
    <row r="37">
      <c r="B37" s="560"/>
      <c r="C37" s="561"/>
      <c r="D37" s="561"/>
      <c r="E37" s="561"/>
      <c r="F37" s="561"/>
      <c r="G37" s="561"/>
      <c r="H37" s="561"/>
      <c r="I37" s="561"/>
      <c r="J37" s="561"/>
      <c r="K37" s="561"/>
      <c r="L37" s="562"/>
    </row>
    <row r="38">
      <c r="B38" s="560"/>
      <c r="C38" s="561"/>
      <c r="D38" s="561"/>
      <c r="E38" s="561"/>
      <c r="F38" s="561"/>
      <c r="G38" s="561"/>
      <c r="H38" s="561"/>
      <c r="I38" s="561"/>
      <c r="J38" s="561"/>
      <c r="K38" s="561"/>
      <c r="L38" s="562"/>
    </row>
    <row r="39">
      <c r="B39" s="560"/>
      <c r="C39" s="561"/>
      <c r="D39" s="561"/>
      <c r="E39" s="561"/>
      <c r="F39" s="561"/>
      <c r="G39" s="561"/>
      <c r="H39" s="561"/>
      <c r="I39" s="561"/>
      <c r="J39" s="561"/>
      <c r="K39" s="561"/>
      <c r="L39" s="562"/>
    </row>
    <row r="40">
      <c r="B40" s="560"/>
      <c r="C40" s="561"/>
      <c r="D40" s="561"/>
      <c r="E40" s="561"/>
      <c r="F40" s="561"/>
      <c r="G40" s="561"/>
      <c r="H40" s="561"/>
      <c r="I40" s="561"/>
      <c r="J40" s="561"/>
      <c r="K40" s="561"/>
      <c r="L40" s="562"/>
    </row>
    <row r="41" ht="15" thickBot="1">
      <c r="B41" s="563"/>
      <c r="C41" s="564"/>
      <c r="D41" s="564"/>
      <c r="E41" s="564"/>
      <c r="F41" s="564"/>
      <c r="G41" s="564"/>
      <c r="H41" s="564"/>
      <c r="I41" s="564"/>
      <c r="J41" s="564"/>
      <c r="K41" s="564"/>
      <c r="L41" s="565"/>
    </row>
  </sheetData>
  <mergeCells count="40">
    <mergeCell ref="B7:L7"/>
    <mergeCell ref="B2:L2"/>
    <mergeCell ref="B3:L3"/>
    <mergeCell ref="B4:L4"/>
    <mergeCell ref="B5:L5"/>
    <mergeCell ref="B6:L6"/>
    <mergeCell ref="B19:L19"/>
    <mergeCell ref="B8:L8"/>
    <mergeCell ref="B9:L9"/>
    <mergeCell ref="B10:L10"/>
    <mergeCell ref="B11:L11"/>
    <mergeCell ref="B12:L12"/>
    <mergeCell ref="B13:L13"/>
    <mergeCell ref="B14:L14"/>
    <mergeCell ref="B15:L15"/>
    <mergeCell ref="B16:L16"/>
    <mergeCell ref="B17:L17"/>
    <mergeCell ref="B18:L18"/>
    <mergeCell ref="B31:L31"/>
    <mergeCell ref="B20:L20"/>
    <mergeCell ref="B21:L21"/>
    <mergeCell ref="B22:L22"/>
    <mergeCell ref="B23:L23"/>
    <mergeCell ref="B24:L24"/>
    <mergeCell ref="B25:L25"/>
    <mergeCell ref="B26:L26"/>
    <mergeCell ref="B27:L27"/>
    <mergeCell ref="B28:L28"/>
    <mergeCell ref="B29:L29"/>
    <mergeCell ref="B30:L30"/>
    <mergeCell ref="B38:L38"/>
    <mergeCell ref="B39:L39"/>
    <mergeCell ref="B40:L40"/>
    <mergeCell ref="B41:L41"/>
    <mergeCell ref="B32:L32"/>
    <mergeCell ref="B33:L33"/>
    <mergeCell ref="B34:L34"/>
    <mergeCell ref="B35:L35"/>
    <mergeCell ref="B36:L36"/>
    <mergeCell ref="B37:L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Finowise</dc:creator>
  <cp:keywords/>
  <dc:description/>
  <cp:lastModifiedBy>Finowise</cp:lastModifiedBy>
  <cp:revision/>
  <dcterms:created xsi:type="dcterms:W3CDTF">2024-03-19T12:18:41Z</dcterms:created>
  <dcterms:modified xsi:type="dcterms:W3CDTF">2026-10-14T10:57:02Z</dcterms:modified>
  <cp:category/>
  <cp:contentStatus/>
</cp:coreProperties>
</file>